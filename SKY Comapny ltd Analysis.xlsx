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072" tabRatio="500" firstSheet="1" activeTab="4"/>
  </bookViews>
  <sheets>
    <sheet name="Income Statement" sheetId="1" r:id="rId1"/>
    <sheet name="Balance sheet" sheetId="2" r:id="rId2"/>
    <sheet name="Ratio Analysis" sheetId="3" r:id="rId3"/>
    <sheet name="Revenue Charts" sheetId="4" r:id="rId4"/>
    <sheet name="Variance Analysis" sheetId="5" r:id="rId5"/>
    <sheet name="Budget" sheetId="6" state="hidden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6" l="1"/>
  <c r="F11" i="6"/>
  <c r="C9" i="5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C31" i="5"/>
  <c r="C29" i="5"/>
  <c r="C26" i="5"/>
  <c r="C24" i="5"/>
  <c r="C23" i="5"/>
  <c r="C17" i="5"/>
  <c r="C15" i="5"/>
  <c r="C12" i="5"/>
  <c r="C10" i="5"/>
  <c r="P27" i="4"/>
  <c r="P28" i="4" s="1"/>
  <c r="P29" i="4" s="1"/>
  <c r="P30" i="4" s="1"/>
  <c r="P31" i="4" s="1"/>
  <c r="P32" i="4" s="1"/>
  <c r="S26" i="4"/>
  <c r="R26" i="4"/>
  <c r="T26" i="4" s="1"/>
  <c r="P26" i="4"/>
  <c r="D26" i="4"/>
  <c r="B26" i="4"/>
  <c r="B27" i="4" s="1"/>
  <c r="B28" i="4" s="1"/>
  <c r="B29" i="4" s="1"/>
  <c r="B30" i="4" s="1"/>
  <c r="B31" i="4" s="1"/>
  <c r="B32" i="4" s="1"/>
  <c r="S25" i="4"/>
  <c r="D25" i="4"/>
  <c r="R25" i="4" s="1"/>
  <c r="T25" i="4" s="1"/>
  <c r="B9" i="4"/>
  <c r="B10" i="4" s="1"/>
  <c r="B11" i="4" s="1"/>
  <c r="B12" i="4" s="1"/>
  <c r="B13" i="4" s="1"/>
  <c r="B14" i="4" s="1"/>
  <c r="P8" i="4"/>
  <c r="P9" i="4" s="1"/>
  <c r="P10" i="4" s="1"/>
  <c r="P11" i="4" s="1"/>
  <c r="P12" i="4" s="1"/>
  <c r="P13" i="4" s="1"/>
  <c r="E8" i="4"/>
  <c r="D8" i="4"/>
  <c r="B8" i="4"/>
  <c r="P7" i="4"/>
  <c r="D7" i="4"/>
  <c r="D31" i="3"/>
  <c r="M31" i="3" s="1"/>
  <c r="C31" i="3"/>
  <c r="D30" i="3"/>
  <c r="M30" i="3" s="1"/>
  <c r="C30" i="3"/>
  <c r="M29" i="3"/>
  <c r="D29" i="3"/>
  <c r="D35" i="3" s="1"/>
  <c r="C29" i="3"/>
  <c r="C35" i="3" s="1"/>
  <c r="M28" i="3"/>
  <c r="D28" i="3"/>
  <c r="D34" i="3" s="1"/>
  <c r="C28" i="3"/>
  <c r="C34" i="3" s="1"/>
  <c r="M27" i="3"/>
  <c r="D27" i="3"/>
  <c r="D33" i="3" s="1"/>
  <c r="C27" i="3"/>
  <c r="C33" i="3" s="1"/>
  <c r="M20" i="3"/>
  <c r="L20" i="3"/>
  <c r="D19" i="3"/>
  <c r="C19" i="3"/>
  <c r="D13" i="3"/>
  <c r="E8" i="3"/>
  <c r="D8" i="3"/>
  <c r="D58" i="2"/>
  <c r="C58" i="2"/>
  <c r="G29" i="1"/>
  <c r="H29" i="1" s="1"/>
  <c r="I29" i="1" s="1"/>
  <c r="J29" i="1" s="1"/>
  <c r="F29" i="1"/>
  <c r="D27" i="1"/>
  <c r="C27" i="1"/>
  <c r="D26" i="1"/>
  <c r="C26" i="1"/>
  <c r="J17" i="1"/>
  <c r="I17" i="1"/>
  <c r="H17" i="1"/>
  <c r="G15" i="5" s="1"/>
  <c r="G17" i="1"/>
  <c r="F17" i="1"/>
  <c r="E17" i="1"/>
  <c r="D13" i="1"/>
  <c r="D10" i="1"/>
  <c r="C10" i="1"/>
  <c r="C13" i="3" s="1"/>
  <c r="E8" i="1"/>
  <c r="L27" i="3" l="1"/>
  <c r="L28" i="3"/>
  <c r="L29" i="3"/>
  <c r="L30" i="3"/>
  <c r="L31" i="3"/>
  <c r="C13" i="5"/>
  <c r="R7" i="4"/>
  <c r="E29" i="5"/>
  <c r="I17" i="6"/>
  <c r="E15" i="5"/>
  <c r="C11" i="5"/>
  <c r="F29" i="5"/>
  <c r="F15" i="5"/>
  <c r="I29" i="5"/>
  <c r="I15" i="5"/>
  <c r="D16" i="1"/>
  <c r="D23" i="5"/>
  <c r="C11" i="6"/>
  <c r="F8" i="1"/>
  <c r="D9" i="4"/>
  <c r="D9" i="5"/>
  <c r="E9" i="1"/>
  <c r="E12" i="1"/>
  <c r="C13" i="1"/>
  <c r="D15" i="5"/>
  <c r="D29" i="5"/>
  <c r="C17" i="6"/>
  <c r="H15" i="5"/>
  <c r="H29" i="5"/>
  <c r="D14" i="3"/>
  <c r="M33" i="3"/>
  <c r="L33" i="3"/>
  <c r="M34" i="3"/>
  <c r="L34" i="3"/>
  <c r="M35" i="3"/>
  <c r="L35" i="3"/>
  <c r="C25" i="5"/>
  <c r="G29" i="5"/>
  <c r="R6" i="4" l="1"/>
  <c r="C14" i="3"/>
  <c r="C16" i="1"/>
  <c r="E9" i="4"/>
  <c r="D27" i="4"/>
  <c r="R27" i="4" s="1"/>
  <c r="C27" i="5"/>
  <c r="C14" i="6"/>
  <c r="D26" i="5"/>
  <c r="D12" i="5"/>
  <c r="E19" i="3"/>
  <c r="I11" i="6"/>
  <c r="E23" i="5"/>
  <c r="D10" i="4"/>
  <c r="F12" i="1"/>
  <c r="E9" i="5"/>
  <c r="F8" i="3"/>
  <c r="F9" i="1"/>
  <c r="G8" i="1"/>
  <c r="C14" i="5"/>
  <c r="D19" i="1"/>
  <c r="D10" i="3"/>
  <c r="D23" i="3"/>
  <c r="D25" i="3"/>
  <c r="D15" i="3"/>
  <c r="D21" i="3" s="1"/>
  <c r="D24" i="5"/>
  <c r="C12" i="6"/>
  <c r="D10" i="5"/>
  <c r="S27" i="4"/>
  <c r="E10" i="1"/>
  <c r="D9" i="3"/>
  <c r="F23" i="5" l="1"/>
  <c r="F9" i="5"/>
  <c r="D11" i="4"/>
  <c r="G12" i="1"/>
  <c r="G8" i="3"/>
  <c r="G9" i="1"/>
  <c r="H8" i="1"/>
  <c r="C25" i="3"/>
  <c r="C23" i="3"/>
  <c r="C15" i="3"/>
  <c r="C19" i="1"/>
  <c r="D25" i="5"/>
  <c r="C13" i="6"/>
  <c r="D11" i="5"/>
  <c r="E13" i="3"/>
  <c r="E13" i="1"/>
  <c r="C30" i="5"/>
  <c r="C16" i="5"/>
  <c r="D16" i="3"/>
  <c r="D22" i="1"/>
  <c r="E24" i="5"/>
  <c r="I12" i="6"/>
  <c r="S28" i="4"/>
  <c r="E10" i="5"/>
  <c r="E26" i="5"/>
  <c r="I14" i="6"/>
  <c r="E12" i="5"/>
  <c r="F19" i="3"/>
  <c r="C28" i="5"/>
  <c r="F10" i="1"/>
  <c r="D28" i="4"/>
  <c r="R28" i="4" s="1"/>
  <c r="T28" i="4" s="1"/>
  <c r="E10" i="4"/>
  <c r="T27" i="4"/>
  <c r="D27" i="5" l="1"/>
  <c r="D13" i="5"/>
  <c r="C15" i="6"/>
  <c r="R8" i="4"/>
  <c r="E14" i="3"/>
  <c r="E9" i="3"/>
  <c r="E16" i="1"/>
  <c r="F24" i="5"/>
  <c r="S29" i="4"/>
  <c r="F10" i="5"/>
  <c r="E11" i="4"/>
  <c r="D29" i="4"/>
  <c r="R29" i="4" s="1"/>
  <c r="M23" i="3"/>
  <c r="L23" i="3"/>
  <c r="E25" i="5"/>
  <c r="I13" i="6"/>
  <c r="E11" i="5"/>
  <c r="F13" i="1"/>
  <c r="F13" i="3"/>
  <c r="G10" i="1"/>
  <c r="C18" i="5"/>
  <c r="S7" i="4"/>
  <c r="D24" i="3"/>
  <c r="D17" i="3"/>
  <c r="C21" i="3"/>
  <c r="C16" i="3"/>
  <c r="C22" i="1"/>
  <c r="G23" i="5"/>
  <c r="G9" i="5"/>
  <c r="D12" i="4"/>
  <c r="H8" i="3"/>
  <c r="H10" i="1"/>
  <c r="H9" i="1"/>
  <c r="I8" i="1"/>
  <c r="H12" i="1"/>
  <c r="F26" i="5"/>
  <c r="F12" i="5"/>
  <c r="G19" i="3"/>
  <c r="G25" i="5" l="1"/>
  <c r="G11" i="5"/>
  <c r="H13" i="1"/>
  <c r="H13" i="3"/>
  <c r="D28" i="5"/>
  <c r="C16" i="6"/>
  <c r="D14" i="5"/>
  <c r="E25" i="3"/>
  <c r="E15" i="3"/>
  <c r="E19" i="1"/>
  <c r="E10" i="3"/>
  <c r="G26" i="5"/>
  <c r="G12" i="5"/>
  <c r="H19" i="3"/>
  <c r="H23" i="5"/>
  <c r="J8" i="1"/>
  <c r="D13" i="4"/>
  <c r="H9" i="5"/>
  <c r="I8" i="3"/>
  <c r="I12" i="1"/>
  <c r="I9" i="1"/>
  <c r="I10" i="1" s="1"/>
  <c r="D30" i="4"/>
  <c r="R30" i="4" s="1"/>
  <c r="E12" i="4"/>
  <c r="C24" i="3"/>
  <c r="C17" i="3"/>
  <c r="S6" i="4"/>
  <c r="D11" i="3"/>
  <c r="C32" i="5"/>
  <c r="I15" i="6"/>
  <c r="E27" i="5"/>
  <c r="F16" i="1"/>
  <c r="E13" i="5"/>
  <c r="R9" i="4"/>
  <c r="F9" i="3"/>
  <c r="F14" i="3"/>
  <c r="T29" i="4"/>
  <c r="F25" i="5"/>
  <c r="F11" i="5"/>
  <c r="G13" i="3"/>
  <c r="G13" i="1"/>
  <c r="G24" i="5"/>
  <c r="G10" i="5"/>
  <c r="S30" i="4"/>
  <c r="H25" i="5" l="1"/>
  <c r="H11" i="5"/>
  <c r="I13" i="3"/>
  <c r="I13" i="1"/>
  <c r="T30" i="4"/>
  <c r="C18" i="6"/>
  <c r="D30" i="5"/>
  <c r="E16" i="3"/>
  <c r="D16" i="5"/>
  <c r="E21" i="1"/>
  <c r="E22" i="1"/>
  <c r="E28" i="5"/>
  <c r="E14" i="5"/>
  <c r="I16" i="6"/>
  <c r="F10" i="3"/>
  <c r="F25" i="3"/>
  <c r="F19" i="1"/>
  <c r="F15" i="3"/>
  <c r="F21" i="3" s="1"/>
  <c r="M24" i="3"/>
  <c r="L24" i="3"/>
  <c r="H24" i="5"/>
  <c r="H10" i="5"/>
  <c r="S31" i="4"/>
  <c r="E13" i="4"/>
  <c r="D31" i="4"/>
  <c r="R31" i="4" s="1"/>
  <c r="T31" i="4" s="1"/>
  <c r="E21" i="3"/>
  <c r="G27" i="5"/>
  <c r="G13" i="5"/>
  <c r="R11" i="4"/>
  <c r="H9" i="3"/>
  <c r="H14" i="3"/>
  <c r="H16" i="1"/>
  <c r="F13" i="5"/>
  <c r="F27" i="5"/>
  <c r="R10" i="4"/>
  <c r="G9" i="3"/>
  <c r="G14" i="3"/>
  <c r="G16" i="1"/>
  <c r="H26" i="5"/>
  <c r="H12" i="5"/>
  <c r="I19" i="3"/>
  <c r="I23" i="5"/>
  <c r="D14" i="4"/>
  <c r="J12" i="1"/>
  <c r="I9" i="5"/>
  <c r="J8" i="3"/>
  <c r="J9" i="1"/>
  <c r="J10" i="1"/>
  <c r="L8" i="3" l="1"/>
  <c r="M8" i="3"/>
  <c r="G14" i="5"/>
  <c r="G28" i="5"/>
  <c r="H19" i="1"/>
  <c r="H10" i="3"/>
  <c r="H15" i="3"/>
  <c r="H21" i="3" s="1"/>
  <c r="H25" i="3"/>
  <c r="D32" i="5"/>
  <c r="C20" i="6"/>
  <c r="D18" i="5"/>
  <c r="S8" i="4"/>
  <c r="E11" i="3"/>
  <c r="E17" i="3"/>
  <c r="D31" i="5"/>
  <c r="D17" i="5"/>
  <c r="C19" i="6"/>
  <c r="F28" i="5"/>
  <c r="F14" i="5"/>
  <c r="G25" i="3"/>
  <c r="G15" i="3"/>
  <c r="G10" i="3"/>
  <c r="G19" i="1"/>
  <c r="I25" i="5"/>
  <c r="J13" i="1"/>
  <c r="I11" i="5"/>
  <c r="J13" i="3"/>
  <c r="I12" i="5"/>
  <c r="I26" i="5"/>
  <c r="J19" i="3"/>
  <c r="I24" i="5"/>
  <c r="I10" i="5"/>
  <c r="S32" i="4"/>
  <c r="D32" i="4"/>
  <c r="R32" i="4" s="1"/>
  <c r="E14" i="4"/>
  <c r="E16" i="5"/>
  <c r="E30" i="5"/>
  <c r="I18" i="6"/>
  <c r="F22" i="1"/>
  <c r="F21" i="1"/>
  <c r="F16" i="3"/>
  <c r="H27" i="5"/>
  <c r="H13" i="5"/>
  <c r="R12" i="4"/>
  <c r="I14" i="3"/>
  <c r="I9" i="3"/>
  <c r="I16" i="1"/>
  <c r="E32" i="5" l="1"/>
  <c r="E18" i="5"/>
  <c r="I20" i="6"/>
  <c r="F17" i="3"/>
  <c r="S9" i="4"/>
  <c r="F11" i="3"/>
  <c r="L19" i="3"/>
  <c r="M19" i="3"/>
  <c r="H28" i="5"/>
  <c r="H14" i="5"/>
  <c r="I25" i="3"/>
  <c r="I15" i="3"/>
  <c r="I10" i="3"/>
  <c r="I19" i="1"/>
  <c r="I19" i="6"/>
  <c r="E31" i="5"/>
  <c r="E17" i="5"/>
  <c r="T32" i="4"/>
  <c r="G21" i="3"/>
  <c r="L13" i="3"/>
  <c r="M13" i="3"/>
  <c r="F30" i="5"/>
  <c r="F16" i="5"/>
  <c r="G16" i="3"/>
  <c r="G22" i="1"/>
  <c r="G21" i="1"/>
  <c r="I27" i="5"/>
  <c r="J16" i="1"/>
  <c r="I13" i="5"/>
  <c r="R13" i="4"/>
  <c r="J9" i="3"/>
  <c r="L9" i="3" s="1"/>
  <c r="J14" i="3"/>
  <c r="L14" i="3" s="1"/>
  <c r="G30" i="5"/>
  <c r="G16" i="5"/>
  <c r="H16" i="3"/>
  <c r="H22" i="1"/>
  <c r="H21" i="1"/>
  <c r="G18" i="5" l="1"/>
  <c r="G32" i="5"/>
  <c r="S11" i="4"/>
  <c r="H11" i="3"/>
  <c r="H17" i="3"/>
  <c r="F32" i="5"/>
  <c r="S10" i="4"/>
  <c r="F18" i="5"/>
  <c r="G17" i="3"/>
  <c r="G11" i="3"/>
  <c r="H30" i="5"/>
  <c r="H16" i="5"/>
  <c r="I16" i="3"/>
  <c r="I21" i="1"/>
  <c r="I22" i="1"/>
  <c r="M14" i="3"/>
  <c r="G31" i="5"/>
  <c r="G17" i="5"/>
  <c r="I28" i="5"/>
  <c r="I14" i="5"/>
  <c r="J10" i="3"/>
  <c r="M10" i="3" s="1"/>
  <c r="J25" i="3"/>
  <c r="J15" i="3"/>
  <c r="J19" i="1"/>
  <c r="F17" i="5"/>
  <c r="F31" i="5"/>
  <c r="I21" i="3"/>
  <c r="L15" i="3"/>
  <c r="M9" i="3"/>
  <c r="M25" i="3" l="1"/>
  <c r="L25" i="3"/>
  <c r="L10" i="3"/>
  <c r="I16" i="5"/>
  <c r="I30" i="5"/>
  <c r="J21" i="1"/>
  <c r="J16" i="3"/>
  <c r="H32" i="5"/>
  <c r="H18" i="5"/>
  <c r="S12" i="4"/>
  <c r="I11" i="3"/>
  <c r="I17" i="3"/>
  <c r="J21" i="3"/>
  <c r="M21" i="3" s="1"/>
  <c r="M15" i="3"/>
  <c r="H31" i="5"/>
  <c r="H17" i="5"/>
  <c r="M16" i="3" l="1"/>
  <c r="L16" i="3"/>
  <c r="I31" i="5"/>
  <c r="I17" i="5"/>
  <c r="J22" i="1"/>
  <c r="L21" i="3"/>
  <c r="I32" i="5" l="1"/>
  <c r="I18" i="5"/>
  <c r="J17" i="3"/>
  <c r="S13" i="4"/>
  <c r="J11" i="3"/>
  <c r="M17" i="3" l="1"/>
  <c r="L17" i="3"/>
  <c r="L11" i="3"/>
  <c r="M11" i="3"/>
</calcChain>
</file>

<file path=xl/sharedStrings.xml><?xml version="1.0" encoding="utf-8"?>
<sst xmlns="http://schemas.openxmlformats.org/spreadsheetml/2006/main" count="309" uniqueCount="125">
  <si>
    <t>Sky Limited Company</t>
  </si>
  <si>
    <t>#</t>
  </si>
  <si>
    <t>Income Statement</t>
  </si>
  <si>
    <t>Actuals</t>
  </si>
  <si>
    <t>Expected</t>
  </si>
  <si>
    <t>Years</t>
  </si>
  <si>
    <t>2023A</t>
  </si>
  <si>
    <t>2024A</t>
  </si>
  <si>
    <t>2025P</t>
  </si>
  <si>
    <t>2026P</t>
  </si>
  <si>
    <t>2027P</t>
  </si>
  <si>
    <t>2028P</t>
  </si>
  <si>
    <t>2029P</t>
  </si>
  <si>
    <t>2030P</t>
  </si>
  <si>
    <t>Sales</t>
  </si>
  <si>
    <t>COGS</t>
  </si>
  <si>
    <t xml:space="preserve">Gross Profit </t>
  </si>
  <si>
    <t>Selling &amp; General expenses</t>
  </si>
  <si>
    <t>EBITDA</t>
  </si>
  <si>
    <t>Depreciation</t>
  </si>
  <si>
    <t>N/A</t>
  </si>
  <si>
    <t>-</t>
  </si>
  <si>
    <t>EBIT</t>
  </si>
  <si>
    <t>Interest Expense</t>
  </si>
  <si>
    <t>EBT</t>
  </si>
  <si>
    <t>Tax</t>
  </si>
  <si>
    <t>Net Profit</t>
  </si>
  <si>
    <t>Assumptions</t>
  </si>
  <si>
    <t>1)</t>
  </si>
  <si>
    <t>Revenue growth to 10 %</t>
  </si>
  <si>
    <t>2)</t>
  </si>
  <si>
    <t>COGS as revenue of % to 55%</t>
  </si>
  <si>
    <t>3)</t>
  </si>
  <si>
    <t>SG&amp;A Expenses as a % Revenue 60%</t>
  </si>
  <si>
    <t>4)</t>
  </si>
  <si>
    <t>Interest Expense as a 350 every year</t>
  </si>
  <si>
    <t xml:space="preserve">5) </t>
  </si>
  <si>
    <t xml:space="preserve">Tax </t>
  </si>
  <si>
    <t xml:space="preserve">Balance Sheet </t>
  </si>
  <si>
    <t>Non-current assets</t>
  </si>
  <si>
    <t>Goodwill</t>
  </si>
  <si>
    <t>Intangible assets</t>
  </si>
  <si>
    <t>Property, plant &amp; equipment</t>
  </si>
  <si>
    <t>Right-of-use assets</t>
  </si>
  <si>
    <t>Investment in subsidiaries</t>
  </si>
  <si>
    <t>Investments in JVs &amp; associates</t>
  </si>
  <si>
    <t>—</t>
  </si>
  <si>
    <t>Deferred tax assets</t>
  </si>
  <si>
    <t>Cost to obtain customer contracts</t>
  </si>
  <si>
    <t>Costs-to-fulfil customer contracts</t>
  </si>
  <si>
    <t>Trade &amp; other receivables</t>
  </si>
  <si>
    <t>Derivative financial assets</t>
  </si>
  <si>
    <t>Minority equity investments</t>
  </si>
  <si>
    <t>Total non-current assets</t>
  </si>
  <si>
    <t>Current assets</t>
  </si>
  <si>
    <t>Inventories</t>
  </si>
  <si>
    <t>Cash &amp; cash equivalents</t>
  </si>
  <si>
    <t>Current tax assets</t>
  </si>
  <si>
    <t>Total current assets</t>
  </si>
  <si>
    <t>Total Assets</t>
  </si>
  <si>
    <t>Current liabilities</t>
  </si>
  <si>
    <t>Trade &amp; other payables</t>
  </si>
  <si>
    <t>Lease liabilities</t>
  </si>
  <si>
    <t>Provisions</t>
  </si>
  <si>
    <t>Derivative financial liabilities</t>
  </si>
  <si>
    <t>Total current liabilities</t>
  </si>
  <si>
    <t>Non-current liabilities</t>
  </si>
  <si>
    <t>Total non-current liabilities</t>
  </si>
  <si>
    <t>Share capital</t>
  </si>
  <si>
    <t>Share premium</t>
  </si>
  <si>
    <t>Reserves</t>
  </si>
  <si>
    <t>Total Equity</t>
  </si>
  <si>
    <t>Total liabilities + equity</t>
  </si>
  <si>
    <t>Check</t>
  </si>
  <si>
    <t>Ratio Analysis</t>
  </si>
  <si>
    <t>Forecasting</t>
  </si>
  <si>
    <t>Trendline</t>
  </si>
  <si>
    <t xml:space="preserve">Mean </t>
  </si>
  <si>
    <t>Median</t>
  </si>
  <si>
    <t xml:space="preserve">Sales Growth </t>
  </si>
  <si>
    <t xml:space="preserve">EBITDA Growth </t>
  </si>
  <si>
    <t xml:space="preserve">EBIT Growth </t>
  </si>
  <si>
    <t xml:space="preserve">Net Profit Growth </t>
  </si>
  <si>
    <t>Gross Margin</t>
  </si>
  <si>
    <t>EBITDA Margin</t>
  </si>
  <si>
    <t>EBIT Margin</t>
  </si>
  <si>
    <t>EBT Margin</t>
  </si>
  <si>
    <t>Net Profit Margin</t>
  </si>
  <si>
    <t>Sales expenses% Sales</t>
  </si>
  <si>
    <t>Depreciation % Sales</t>
  </si>
  <si>
    <t>Operating income % Sales</t>
  </si>
  <si>
    <t>Return on Capital employed</t>
  </si>
  <si>
    <t>Return on Equity %</t>
  </si>
  <si>
    <t>Interest Covered ratio</t>
  </si>
  <si>
    <t>Debtors turnover ratio</t>
  </si>
  <si>
    <t>Creditors turnover ratio</t>
  </si>
  <si>
    <t>Inventory turnover ratio</t>
  </si>
  <si>
    <t>Fixed Assets turnover ratio</t>
  </si>
  <si>
    <t>Capital turnover ratio</t>
  </si>
  <si>
    <t>Debtors Day</t>
  </si>
  <si>
    <t>Payable Day</t>
  </si>
  <si>
    <t>Inventory Day</t>
  </si>
  <si>
    <t>Revenue Performance – Charts &amp; Visuals</t>
  </si>
  <si>
    <t>Sales - Forecasting</t>
  </si>
  <si>
    <t xml:space="preserve">Year Weight </t>
  </si>
  <si>
    <t xml:space="preserve">Year </t>
  </si>
  <si>
    <t>Sales Growth</t>
  </si>
  <si>
    <t>Revenue</t>
  </si>
  <si>
    <t>Gross Profit</t>
  </si>
  <si>
    <t>Variance Analysis</t>
  </si>
  <si>
    <t>$ Variance</t>
  </si>
  <si>
    <t>Line Item</t>
  </si>
  <si>
    <t>% Variance</t>
  </si>
  <si>
    <t>Budget</t>
  </si>
  <si>
    <t>2025 Budget vs. Actual</t>
  </si>
  <si>
    <t>Budget ($)</t>
  </si>
  <si>
    <t>Actual ($)</t>
  </si>
  <si>
    <t>2026 Budget vs. Actual</t>
  </si>
  <si>
    <t>2023A - 2024A</t>
  </si>
  <si>
    <t>2024A - 2025P</t>
  </si>
  <si>
    <t>2025P - 2026P</t>
  </si>
  <si>
    <t>2026P - 2027P</t>
  </si>
  <si>
    <t>2027P - 2028P</t>
  </si>
  <si>
    <t>2028P - 2029P</t>
  </si>
  <si>
    <t>2029P - 2030P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</si>
</sst>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[$$-409]#,##0.0"/>
    <numFmt numFmtId="165" formatCode="#,##0.0_ ;\(#,##0.0\)"/>
    <numFmt numFmtId="166" formatCode="0.0%"/>
    <numFmt numFmtId="167" formatCode="0.00\x"/>
    <numFmt numFmtId="168" formatCode="#,##0;\(#,##0\)"/>
    <numFmt numFmtId="169" formatCode="&quot;₹ &quot;#,##0.0;&quot;(₹ &quot;#,##0.0\);\-"/>
    <numFmt numFmtId="170" formatCode="mmm\-yy"/>
    <numFmt numFmtId="171" formatCode="#,##0.0;\(#,##0.0\);\-"/>
    <numFmt numFmtId="172" formatCode="0.0%;\(0.0%\);\-"/>
  </numFmts>
  <fonts count="24" x14ac:knownFonts="1">
    <font>
      <sz val="11"/>
      <color theme="1"/>
      <name val="Calibri"/>
      <family val="2"/>
      <charset val="1"/>
    </font>
    <font>
      <b/>
      <sz val="14"/>
      <color theme="1"/>
      <name val="Comic Sans MS"/>
      <family val="4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4"/>
      <name val="Calibri"/>
      <charset val="1"/>
    </font>
    <font>
      <b/>
      <sz val="11"/>
      <color theme="0"/>
      <name val="calibri"/>
      <family val="2"/>
      <charset val="1"/>
    </font>
    <font>
      <b/>
      <sz val="12"/>
      <name val="Calibri"/>
      <charset val="1"/>
    </font>
    <font>
      <b/>
      <sz val="14"/>
      <name val="Comic Sans MS"/>
      <charset val="1"/>
    </font>
    <font>
      <b/>
      <sz val="14"/>
      <color rgb="FFFFFFFF"/>
      <name val="Calibri"/>
      <charset val="1"/>
    </font>
    <font>
      <b/>
      <sz val="12"/>
      <color rgb="FF002060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i/>
      <sz val="10"/>
      <color rgb="FF595959"/>
      <name val="Calibri"/>
      <charset val="1"/>
    </font>
    <font>
      <b/>
      <sz val="10"/>
      <color rgb="FFFFFFFF"/>
      <name val="Calibri"/>
      <charset val="1"/>
    </font>
    <font>
      <sz val="11"/>
      <color rgb="FF008000"/>
      <name val="Calibri"/>
      <charset val="1"/>
    </font>
    <font>
      <sz val="11"/>
      <color rgb="FF0000FF"/>
      <name val="Calibri"/>
      <charset val="1"/>
    </font>
    <font>
      <b/>
      <sz val="11"/>
      <color rgb="FF008000"/>
      <name val="Calibri"/>
      <charset val="1"/>
    </font>
    <font>
      <b/>
      <sz val="11"/>
      <color rgb="FFFFFFFF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203864"/>
      </patternFill>
    </fill>
    <fill>
      <patternFill patternType="solid">
        <fgColor theme="8" tint="0.39988402966399123"/>
        <bgColor rgb="FF99CCFF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8" tint="-0.499984740745262"/>
        <bgColor rgb="FF333399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2038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8" tint="-0.249977111117893"/>
        <bgColor rgb="FF203864"/>
      </patternFill>
    </fill>
    <fill>
      <patternFill patternType="solid">
        <fgColor rgb="FF002060"/>
        <bgColor rgb="FF0066CC"/>
      </patternFill>
    </fill>
    <fill>
      <patternFill patternType="solid">
        <fgColor theme="8" tint="-0.249977111117893"/>
        <bgColor rgb="FF99CCFF"/>
      </patternFill>
    </fill>
  </fills>
  <borders count="30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auto="1"/>
      </right>
      <top/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 applyAlignment="1"/>
    <xf numFmtId="164" fontId="0" fillId="0" borderId="0" xfId="0" applyNumberFormat="1" applyAlignment="1">
      <alignment wrapText="1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 applyAlignment="1"/>
    <xf numFmtId="164" fontId="3" fillId="0" borderId="1" xfId="0" applyNumberFormat="1" applyFont="1" applyBorder="1" applyAlignment="1"/>
    <xf numFmtId="164" fontId="3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/>
    <xf numFmtId="164" fontId="0" fillId="0" borderId="0" xfId="0" applyNumberFormat="1" applyFont="1" applyAlignment="1">
      <alignment horizontal="right"/>
    </xf>
    <xf numFmtId="164" fontId="0" fillId="0" borderId="0" xfId="0" applyNumberFormat="1" applyFont="1" applyAlignment="1">
      <alignment horizontal="right" wrapText="1"/>
    </xf>
    <xf numFmtId="165" fontId="3" fillId="0" borderId="0" xfId="0" applyNumberFormat="1" applyFont="1" applyAlignment="1"/>
    <xf numFmtId="0" fontId="3" fillId="0" borderId="0" xfId="0" applyFont="1" applyAlignment="1"/>
    <xf numFmtId="0" fontId="0" fillId="5" borderId="0" xfId="0" applyFont="1" applyFill="1" applyAlignment="1"/>
    <xf numFmtId="166" fontId="0" fillId="5" borderId="0" xfId="0" applyNumberFormat="1" applyFill="1" applyAlignment="1"/>
    <xf numFmtId="166" fontId="0" fillId="5" borderId="0" xfId="0" applyNumberFormat="1" applyFill="1" applyAlignment="1">
      <alignment wrapText="1"/>
    </xf>
    <xf numFmtId="10" fontId="0" fillId="5" borderId="0" xfId="0" applyNumberFormat="1" applyFill="1" applyAlignment="1"/>
    <xf numFmtId="10" fontId="0" fillId="5" borderId="0" xfId="0" applyNumberFormat="1" applyFill="1" applyAlignment="1">
      <alignment wrapText="1"/>
    </xf>
    <xf numFmtId="0" fontId="0" fillId="5" borderId="0" xfId="0" applyFill="1" applyAlignment="1">
      <alignment wrapText="1"/>
    </xf>
    <xf numFmtId="164" fontId="0" fillId="5" borderId="0" xfId="0" applyNumberFormat="1" applyFill="1" applyAlignment="1">
      <alignment wrapText="1"/>
    </xf>
    <xf numFmtId="0" fontId="4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0" fillId="0" borderId="1" xfId="0" applyNumberFormat="1" applyBorder="1" applyAlignment="1"/>
    <xf numFmtId="0" fontId="3" fillId="0" borderId="2" xfId="0" applyFont="1" applyBorder="1" applyAlignment="1">
      <alignment vertical="center" wrapText="1"/>
    </xf>
    <xf numFmtId="164" fontId="0" fillId="0" borderId="2" xfId="0" applyNumberFormat="1" applyBorder="1" applyAlignment="1"/>
    <xf numFmtId="0" fontId="5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7" fillId="6" borderId="0" xfId="0" applyFont="1" applyFill="1" applyAlignment="1">
      <alignment horizontal="center"/>
    </xf>
    <xf numFmtId="10" fontId="0" fillId="0" borderId="3" xfId="0" applyNumberFormat="1" applyBorder="1" applyAlignment="1"/>
    <xf numFmtId="10" fontId="0" fillId="0" borderId="0" xfId="0" applyNumberFormat="1" applyAlignment="1"/>
    <xf numFmtId="10" fontId="0" fillId="0" borderId="4" xfId="0" applyNumberFormat="1" applyBorder="1" applyAlignment="1"/>
    <xf numFmtId="167" fontId="0" fillId="0" borderId="4" xfId="0" applyNumberFormat="1" applyBorder="1" applyAlignment="1"/>
    <xf numFmtId="167" fontId="0" fillId="0" borderId="0" xfId="0" applyNumberFormat="1" applyAlignment="1"/>
    <xf numFmtId="167" fontId="0" fillId="0" borderId="3" xfId="0" applyNumberFormat="1" applyBorder="1" applyAlignment="1"/>
    <xf numFmtId="1" fontId="0" fillId="0" borderId="3" xfId="0" applyNumberFormat="1" applyBorder="1" applyAlignment="1"/>
    <xf numFmtId="1" fontId="0" fillId="0" borderId="0" xfId="0" applyNumberFormat="1" applyAlignment="1"/>
    <xf numFmtId="1" fontId="0" fillId="0" borderId="4" xfId="0" applyNumberFormat="1" applyBorder="1" applyAlignment="1"/>
    <xf numFmtId="0" fontId="8" fillId="0" borderId="0" xfId="0" applyFont="1" applyAlignment="1"/>
    <xf numFmtId="0" fontId="7" fillId="6" borderId="6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Fon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4" fontId="0" fillId="0" borderId="7" xfId="0" applyNumberFormat="1" applyBorder="1" applyAlignment="1"/>
    <xf numFmtId="0" fontId="0" fillId="0" borderId="8" xfId="0" applyBorder="1" applyAlignment="1"/>
    <xf numFmtId="10" fontId="0" fillId="0" borderId="8" xfId="0" applyNumberFormat="1" applyBorder="1" applyAlignment="1"/>
    <xf numFmtId="49" fontId="0" fillId="0" borderId="7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49" fontId="0" fillId="0" borderId="10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64" fontId="0" fillId="0" borderId="10" xfId="0" applyNumberFormat="1" applyBorder="1" applyAlignment="1"/>
    <xf numFmtId="10" fontId="0" fillId="0" borderId="11" xfId="0" applyNumberFormat="1" applyBorder="1" applyAlignment="1"/>
    <xf numFmtId="0" fontId="0" fillId="0" borderId="12" xfId="0" applyBorder="1" applyAlignment="1">
      <alignment horizontal="left"/>
    </xf>
    <xf numFmtId="169" fontId="0" fillId="0" borderId="12" xfId="0" applyNumberFormat="1" applyBorder="1" applyAlignment="1">
      <alignment horizontal="center"/>
    </xf>
    <xf numFmtId="10" fontId="0" fillId="0" borderId="12" xfId="0" applyNumberFormat="1" applyBorder="1" applyAlignment="1"/>
    <xf numFmtId="0" fontId="0" fillId="0" borderId="0" xfId="0" applyAlignment="1">
      <alignment horizontal="left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left"/>
    </xf>
    <xf numFmtId="0" fontId="7" fillId="6" borderId="13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164" fontId="0" fillId="0" borderId="8" xfId="0" applyNumberFormat="1" applyBorder="1" applyAlignment="1"/>
    <xf numFmtId="0" fontId="0" fillId="4" borderId="13" xfId="0" applyFill="1" applyBorder="1" applyAlignment="1"/>
    <xf numFmtId="164" fontId="0" fillId="0" borderId="14" xfId="0" applyNumberFormat="1" applyBorder="1" applyAlignment="1"/>
    <xf numFmtId="10" fontId="0" fillId="4" borderId="13" xfId="0" applyNumberFormat="1" applyFill="1" applyBorder="1" applyAlignment="1"/>
    <xf numFmtId="164" fontId="0" fillId="0" borderId="11" xfId="0" applyNumberFormat="1" applyBorder="1" applyAlignment="1"/>
    <xf numFmtId="164" fontId="0" fillId="0" borderId="15" xfId="0" applyNumberFormat="1" applyBorder="1" applyAlignment="1"/>
    <xf numFmtId="0" fontId="9" fillId="0" borderId="0" xfId="0" applyFont="1" applyAlignment="1"/>
    <xf numFmtId="0" fontId="10" fillId="2" borderId="0" xfId="0" applyFont="1" applyFill="1" applyAlignment="1"/>
    <xf numFmtId="0" fontId="11" fillId="0" borderId="0" xfId="0" applyFont="1" applyAlignment="1"/>
    <xf numFmtId="0" fontId="12" fillId="2" borderId="0" xfId="0" applyFont="1" applyFill="1" applyAlignment="1"/>
    <xf numFmtId="0" fontId="12" fillId="2" borderId="0" xfId="0" applyFont="1" applyFill="1" applyAlignment="1">
      <alignment horizontal="center" wrapText="1"/>
    </xf>
    <xf numFmtId="0" fontId="13" fillId="0" borderId="0" xfId="0" applyFont="1" applyAlignment="1"/>
    <xf numFmtId="0" fontId="9" fillId="0" borderId="0" xfId="0" applyFont="1"/>
    <xf numFmtId="0" fontId="10" fillId="2" borderId="0" xfId="0" applyFont="1" applyFill="1"/>
    <xf numFmtId="0" fontId="11" fillId="0" borderId="0" xfId="0" applyFont="1"/>
    <xf numFmtId="171" fontId="13" fillId="0" borderId="16" xfId="0" applyNumberFormat="1" applyFont="1" applyBorder="1"/>
    <xf numFmtId="171" fontId="14" fillId="0" borderId="16" xfId="0" applyNumberFormat="1" applyFont="1" applyBorder="1"/>
    <xf numFmtId="171" fontId="13" fillId="0" borderId="0" xfId="0" applyNumberFormat="1" applyFont="1" applyBorder="1" applyAlignment="1"/>
    <xf numFmtId="0" fontId="14" fillId="0" borderId="1" xfId="0" applyFont="1" applyBorder="1" applyAlignment="1"/>
    <xf numFmtId="171" fontId="14" fillId="0" borderId="1" xfId="0" applyNumberFormat="1" applyFont="1" applyBorder="1" applyAlignment="1"/>
    <xf numFmtId="0" fontId="14" fillId="0" borderId="17" xfId="0" applyFont="1" applyBorder="1" applyAlignment="1"/>
    <xf numFmtId="171" fontId="14" fillId="0" borderId="17" xfId="0" applyNumberFormat="1" applyFont="1" applyBorder="1" applyAlignment="1"/>
    <xf numFmtId="0" fontId="14" fillId="0" borderId="18" xfId="0" applyFont="1" applyBorder="1" applyAlignment="1"/>
    <xf numFmtId="171" fontId="14" fillId="0" borderId="18" xfId="0" applyNumberFormat="1" applyFont="1" applyBorder="1" applyAlignment="1"/>
    <xf numFmtId="0" fontId="20" fillId="2" borderId="0" xfId="0" applyFont="1" applyFill="1" applyAlignment="1">
      <alignment horizontal="center" wrapText="1"/>
    </xf>
    <xf numFmtId="172" fontId="13" fillId="0" borderId="0" xfId="0" applyNumberFormat="1" applyFont="1" applyBorder="1" applyAlignment="1"/>
    <xf numFmtId="172" fontId="14" fillId="0" borderId="1" xfId="0" applyNumberFormat="1" applyFont="1" applyBorder="1" applyAlignment="1"/>
    <xf numFmtId="172" fontId="14" fillId="0" borderId="18" xfId="0" applyNumberFormat="1" applyFont="1" applyBorder="1" applyAlignment="1"/>
    <xf numFmtId="0" fontId="21" fillId="0" borderId="0" xfId="0" applyFont="1" applyAlignment="1"/>
    <xf numFmtId="0" fontId="0" fillId="7" borderId="0" xfId="0" applyFill="1" applyBorder="1"/>
    <xf numFmtId="0" fontId="16" fillId="8" borderId="0" xfId="0" applyFont="1" applyFill="1" applyBorder="1" applyAlignment="1">
      <alignment horizontal="center" wrapText="1"/>
    </xf>
    <xf numFmtId="0" fontId="0" fillId="9" borderId="0" xfId="0" applyFill="1" applyBorder="1"/>
    <xf numFmtId="0" fontId="13" fillId="9" borderId="0" xfId="0" applyFont="1" applyFill="1" applyBorder="1" applyAlignment="1">
      <alignment horizontal="center"/>
    </xf>
    <xf numFmtId="0" fontId="14" fillId="9" borderId="0" xfId="0" applyFont="1" applyFill="1" applyBorder="1" applyAlignment="1">
      <alignment horizontal="center"/>
    </xf>
    <xf numFmtId="171" fontId="22" fillId="0" borderId="16" xfId="0" applyNumberFormat="1" applyFont="1" applyBorder="1"/>
    <xf numFmtId="171" fontId="23" fillId="0" borderId="16" xfId="0" applyNumberFormat="1" applyFont="1" applyBorder="1"/>
    <xf numFmtId="0" fontId="13" fillId="0" borderId="20" xfId="0" applyFont="1" applyBorder="1"/>
    <xf numFmtId="172" fontId="13" fillId="0" borderId="21" xfId="0" applyNumberFormat="1" applyFont="1" applyBorder="1"/>
    <xf numFmtId="0" fontId="14" fillId="0" borderId="20" xfId="0" applyFont="1" applyBorder="1"/>
    <xf numFmtId="172" fontId="14" fillId="0" borderId="21" xfId="0" applyNumberFormat="1" applyFont="1" applyBorder="1"/>
    <xf numFmtId="0" fontId="14" fillId="0" borderId="22" xfId="0" applyFont="1" applyBorder="1"/>
    <xf numFmtId="171" fontId="14" fillId="0" borderId="23" xfId="0" applyNumberFormat="1" applyFont="1" applyBorder="1"/>
    <xf numFmtId="172" fontId="14" fillId="0" borderId="24" xfId="0" applyNumberFormat="1" applyFont="1" applyBorder="1"/>
    <xf numFmtId="171" fontId="13" fillId="0" borderId="25" xfId="0" applyNumberFormat="1" applyFont="1" applyBorder="1"/>
    <xf numFmtId="172" fontId="13" fillId="0" borderId="26" xfId="0" applyNumberFormat="1" applyFont="1" applyBorder="1"/>
    <xf numFmtId="171" fontId="18" fillId="10" borderId="16" xfId="0" applyNumberFormat="1" applyFont="1" applyFill="1" applyBorder="1"/>
    <xf numFmtId="171" fontId="18" fillId="10" borderId="23" xfId="0" applyNumberFormat="1" applyFont="1" applyFill="1" applyBorder="1"/>
    <xf numFmtId="0" fontId="12" fillId="7" borderId="0" xfId="0" applyFont="1" applyFill="1" applyBorder="1"/>
    <xf numFmtId="0" fontId="13" fillId="9" borderId="0" xfId="0" applyFont="1" applyFill="1" applyBorder="1"/>
    <xf numFmtId="171" fontId="17" fillId="9" borderId="0" xfId="0" applyNumberFormat="1" applyFont="1" applyFill="1" applyBorder="1"/>
    <xf numFmtId="171" fontId="18" fillId="10" borderId="0" xfId="0" applyNumberFormat="1" applyFont="1" applyFill="1" applyBorder="1"/>
    <xf numFmtId="171" fontId="13" fillId="9" borderId="0" xfId="0" applyNumberFormat="1" applyFont="1" applyFill="1" applyBorder="1"/>
    <xf numFmtId="172" fontId="13" fillId="9" borderId="0" xfId="0" applyNumberFormat="1" applyFont="1" applyFill="1" applyBorder="1"/>
    <xf numFmtId="0" fontId="14" fillId="9" borderId="0" xfId="0" applyFont="1" applyFill="1" applyBorder="1"/>
    <xf numFmtId="171" fontId="19" fillId="9" borderId="0" xfId="0" applyNumberFormat="1" applyFont="1" applyFill="1" applyBorder="1"/>
    <xf numFmtId="171" fontId="14" fillId="9" borderId="0" xfId="0" applyNumberFormat="1" applyFont="1" applyFill="1" applyBorder="1"/>
    <xf numFmtId="172" fontId="14" fillId="9" borderId="0" xfId="0" applyNumberFormat="1" applyFont="1" applyFill="1" applyBorder="1"/>
    <xf numFmtId="0" fontId="16" fillId="11" borderId="20" xfId="0" applyFont="1" applyFill="1" applyBorder="1" applyAlignment="1">
      <alignment horizontal="center" wrapText="1"/>
    </xf>
    <xf numFmtId="0" fontId="16" fillId="11" borderId="0" xfId="0" applyFont="1" applyFill="1" applyBorder="1" applyAlignment="1">
      <alignment horizontal="center" wrapText="1"/>
    </xf>
    <xf numFmtId="0" fontId="16" fillId="11" borderId="29" xfId="0" applyFont="1" applyFill="1" applyBorder="1" applyAlignment="1">
      <alignment horizontal="center" wrapText="1"/>
    </xf>
    <xf numFmtId="0" fontId="7" fillId="13" borderId="0" xfId="0" applyFont="1" applyFill="1" applyAlignment="1">
      <alignment horizontal="center"/>
    </xf>
    <xf numFmtId="10" fontId="0" fillId="0" borderId="0" xfId="0" applyNumberFormat="1" applyBorder="1" applyAlignment="1"/>
    <xf numFmtId="0" fontId="0" fillId="0" borderId="0" xfId="0" applyBorder="1" applyAlignment="1"/>
    <xf numFmtId="0" fontId="0" fillId="0" borderId="3" xfId="0" applyBorder="1" applyAlignment="1"/>
    <xf numFmtId="0" fontId="0" fillId="0" borderId="4" xfId="0" applyBorder="1" applyAlignment="1"/>
    <xf numFmtId="167" fontId="0" fillId="0" borderId="0" xfId="0" applyNumberFormat="1" applyBorder="1" applyAlignment="1"/>
    <xf numFmtId="1" fontId="0" fillId="0" borderId="0" xfId="0" applyNumberFormat="1" applyBorder="1" applyAlignment="1"/>
    <xf numFmtId="10" fontId="0" fillId="0" borderId="3" xfId="0" applyNumberFormat="1" applyBorder="1" applyAlignment="1">
      <alignment horizontal="right"/>
    </xf>
    <xf numFmtId="10" fontId="0" fillId="0" borderId="0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23" fillId="0" borderId="3" xfId="0" applyFont="1" applyBorder="1" applyAlignment="1"/>
    <xf numFmtId="0" fontId="23" fillId="0" borderId="0" xfId="0" applyFont="1" applyAlignment="1"/>
    <xf numFmtId="0" fontId="23" fillId="0" borderId="4" xfId="0" applyFont="1" applyBorder="1" applyAlignment="1"/>
    <xf numFmtId="171" fontId="22" fillId="0" borderId="25" xfId="0" applyNumberFormat="1" applyFont="1" applyBorder="1"/>
    <xf numFmtId="171" fontId="23" fillId="0" borderId="23" xfId="0" applyNumberFormat="1" applyFont="1" applyBorder="1"/>
    <xf numFmtId="171" fontId="18" fillId="10" borderId="25" xfId="0" applyNumberFormat="1" applyFont="1" applyFill="1" applyBorder="1"/>
    <xf numFmtId="0" fontId="3" fillId="0" borderId="18" xfId="0" applyFont="1" applyBorder="1" applyAlignment="1"/>
    <xf numFmtId="165" fontId="3" fillId="0" borderId="18" xfId="0" applyNumberFormat="1" applyFont="1" applyBorder="1" applyAlignment="1"/>
    <xf numFmtId="0" fontId="2" fillId="2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0" fontId="7" fillId="6" borderId="0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4" borderId="0" xfId="0" applyFont="1" applyFill="1" applyBorder="1" applyAlignment="1">
      <alignment wrapText="1"/>
    </xf>
    <xf numFmtId="0" fontId="15" fillId="0" borderId="0" xfId="0" applyFont="1" applyBorder="1" applyAlignment="1"/>
    <xf numFmtId="0" fontId="15" fillId="0" borderId="0" xfId="0" applyFont="1" applyBorder="1"/>
    <xf numFmtId="0" fontId="12" fillId="12" borderId="19" xfId="0" applyFont="1" applyFill="1" applyBorder="1" applyAlignment="1">
      <alignment horizontal="center"/>
    </xf>
    <xf numFmtId="0" fontId="12" fillId="12" borderId="27" xfId="0" applyFont="1" applyFill="1" applyBorder="1" applyAlignment="1">
      <alignment horizontal="center"/>
    </xf>
    <xf numFmtId="0" fontId="12" fillId="12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8FAADC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002060"/>
      <rgbColor rgb="FF339966"/>
      <rgbColor rgb="FF003300"/>
      <rgbColor rgb="FF333300"/>
      <rgbColor rgb="FF993300"/>
      <rgbColor rgb="FF993366"/>
      <rgbColor rgb="FF333399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(Sales) – Actual &amp; Projected 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Statement'!$C$6:$J$6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2025P</c:v>
                </c:pt>
                <c:pt idx="3">
                  <c:v>2026P</c:v>
                </c:pt>
                <c:pt idx="4">
                  <c:v>2027P</c:v>
                </c:pt>
                <c:pt idx="5">
                  <c:v>2028P</c:v>
                </c:pt>
                <c:pt idx="6">
                  <c:v>2029P</c:v>
                </c:pt>
                <c:pt idx="7">
                  <c:v>2030P</c:v>
                </c:pt>
              </c:strCache>
            </c:strRef>
          </c:cat>
          <c:val>
            <c:numRef>
              <c:f>'Income Statement'!$C$8:$J$8</c:f>
              <c:numCache>
                <c:formatCode>[$$-409]#,##0.0</c:formatCode>
                <c:ptCount val="8"/>
                <c:pt idx="0">
                  <c:v>10232</c:v>
                </c:pt>
                <c:pt idx="1">
                  <c:v>10396</c:v>
                </c:pt>
                <c:pt idx="2">
                  <c:v>11435.6</c:v>
                </c:pt>
                <c:pt idx="3">
                  <c:v>12579.160000000002</c:v>
                </c:pt>
                <c:pt idx="4">
                  <c:v>13837.076000000003</c:v>
                </c:pt>
                <c:pt idx="5">
                  <c:v>15220.783600000004</c:v>
                </c:pt>
                <c:pt idx="6">
                  <c:v>16742.861960000006</c:v>
                </c:pt>
                <c:pt idx="7">
                  <c:v>18417.148156000007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BFA-AD59-A0DF2E0D5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20234"/>
        <c:axId val="88607085"/>
      </c:barChart>
      <c:catAx>
        <c:axId val="334202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607085"/>
        <c:crosses val="autoZero"/>
        <c:auto val="1"/>
        <c:lblAlgn val="ctr"/>
        <c:lblOffset val="100"/>
        <c:noMultiLvlLbl val="0"/>
      </c:catAx>
      <c:valAx>
        <c:axId val="886070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[$$-409]#,##0.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4202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vs COGS vs Gross Profit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Statement'!$C$6:$J$6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2025P</c:v>
                </c:pt>
                <c:pt idx="3">
                  <c:v>2026P</c:v>
                </c:pt>
                <c:pt idx="4">
                  <c:v>2027P</c:v>
                </c:pt>
                <c:pt idx="5">
                  <c:v>2028P</c:v>
                </c:pt>
                <c:pt idx="6">
                  <c:v>2029P</c:v>
                </c:pt>
                <c:pt idx="7">
                  <c:v>2030P</c:v>
                </c:pt>
              </c:strCache>
            </c:strRef>
          </c:cat>
          <c:val>
            <c:numRef>
              <c:f>'Income Statement'!$C$8:$J$8</c:f>
              <c:numCache>
                <c:formatCode>[$$-409]#,##0.0</c:formatCode>
                <c:ptCount val="8"/>
                <c:pt idx="0">
                  <c:v>10232</c:v>
                </c:pt>
                <c:pt idx="1">
                  <c:v>10396</c:v>
                </c:pt>
                <c:pt idx="2">
                  <c:v>11435.6</c:v>
                </c:pt>
                <c:pt idx="3">
                  <c:v>12579.160000000002</c:v>
                </c:pt>
                <c:pt idx="4">
                  <c:v>13837.076000000003</c:v>
                </c:pt>
                <c:pt idx="5">
                  <c:v>15220.783600000004</c:v>
                </c:pt>
                <c:pt idx="6">
                  <c:v>16742.861960000006</c:v>
                </c:pt>
                <c:pt idx="7">
                  <c:v>18417.148156000007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1-444A-9B5E-D2D7D70CA50D}"/>
            </c:ext>
          </c:extLst>
        </c:ser>
        <c:ser>
          <c:idx val="1"/>
          <c:order val="1"/>
          <c:tx>
            <c:v>COGS</c:v>
          </c:tx>
          <c:spPr>
            <a:solidFill>
              <a:srgbClr val="ED7D31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Statement'!$C$6:$J$6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2025P</c:v>
                </c:pt>
                <c:pt idx="3">
                  <c:v>2026P</c:v>
                </c:pt>
                <c:pt idx="4">
                  <c:v>2027P</c:v>
                </c:pt>
                <c:pt idx="5">
                  <c:v>2028P</c:v>
                </c:pt>
                <c:pt idx="6">
                  <c:v>2029P</c:v>
                </c:pt>
                <c:pt idx="7">
                  <c:v>2030P</c:v>
                </c:pt>
              </c:strCache>
            </c:strRef>
          </c:cat>
          <c:val>
            <c:numRef>
              <c:f>'Income Statement'!$C$9:$J$9</c:f>
              <c:numCache>
                <c:formatCode>[$$-409]#,##0.0</c:formatCode>
                <c:ptCount val="8"/>
                <c:pt idx="0">
                  <c:v>5113</c:v>
                </c:pt>
                <c:pt idx="1">
                  <c:v>5174</c:v>
                </c:pt>
                <c:pt idx="2">
                  <c:v>5717.8</c:v>
                </c:pt>
                <c:pt idx="3">
                  <c:v>6163.7884000000004</c:v>
                </c:pt>
                <c:pt idx="4">
                  <c:v>6641.7964800000009</c:v>
                </c:pt>
                <c:pt idx="5">
                  <c:v>7153.7682920000016</c:v>
                </c:pt>
                <c:pt idx="6">
                  <c:v>7701.7165016000026</c:v>
                </c:pt>
                <c:pt idx="7">
                  <c:v>8287.7166702000031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1-444A-9B5E-D2D7D70CA50D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70AD47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Statement'!$C$6:$J$6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2025P</c:v>
                </c:pt>
                <c:pt idx="3">
                  <c:v>2026P</c:v>
                </c:pt>
                <c:pt idx="4">
                  <c:v>2027P</c:v>
                </c:pt>
                <c:pt idx="5">
                  <c:v>2028P</c:v>
                </c:pt>
                <c:pt idx="6">
                  <c:v>2029P</c:v>
                </c:pt>
                <c:pt idx="7">
                  <c:v>2030P</c:v>
                </c:pt>
              </c:strCache>
            </c:strRef>
          </c:cat>
          <c:val>
            <c:numRef>
              <c:f>'Income Statement'!$C$10:$J$10</c:f>
              <c:numCache>
                <c:formatCode>[$$-409]#,##0.0</c:formatCode>
                <c:ptCount val="8"/>
                <c:pt idx="0">
                  <c:v>5119</c:v>
                </c:pt>
                <c:pt idx="1">
                  <c:v>5222</c:v>
                </c:pt>
                <c:pt idx="2">
                  <c:v>5717.8</c:v>
                </c:pt>
                <c:pt idx="3">
                  <c:v>6415.3716000000013</c:v>
                </c:pt>
                <c:pt idx="4">
                  <c:v>7195.2795200000019</c:v>
                </c:pt>
                <c:pt idx="5">
                  <c:v>8067.0153080000027</c:v>
                </c:pt>
                <c:pt idx="6">
                  <c:v>9041.1454584000021</c:v>
                </c:pt>
                <c:pt idx="7">
                  <c:v>10129.431485800003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1-444A-9B5E-D2D7D70CA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52690"/>
        <c:axId val="90509138"/>
      </c:barChart>
      <c:catAx>
        <c:axId val="494526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09138"/>
        <c:crosses val="autoZero"/>
        <c:auto val="1"/>
        <c:lblAlgn val="ctr"/>
        <c:lblOffset val="100"/>
        <c:noMultiLvlLbl val="0"/>
      </c:catAx>
      <c:valAx>
        <c:axId val="9050913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[$$-409]#,##0.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526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EBITDA &amp; Net Profit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EBITDA</c:v>
          </c:tx>
          <c:spPr>
            <a:ln w="24840">
              <a:solidFill>
                <a:srgbClr val="FFC000"/>
              </a:solidFill>
              <a:round/>
            </a:ln>
          </c:spPr>
          <c:marker>
            <c:symbol val="circle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Statement'!$C$6:$J$6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2025P</c:v>
                </c:pt>
                <c:pt idx="3">
                  <c:v>2026P</c:v>
                </c:pt>
                <c:pt idx="4">
                  <c:v>2027P</c:v>
                </c:pt>
                <c:pt idx="5">
                  <c:v>2028P</c:v>
                </c:pt>
                <c:pt idx="6">
                  <c:v>2029P</c:v>
                </c:pt>
                <c:pt idx="7">
                  <c:v>2030P</c:v>
                </c:pt>
              </c:strCache>
            </c:strRef>
          </c:cat>
          <c:val>
            <c:numRef>
              <c:f>'Income Statement'!$C$13:$J$13</c:f>
              <c:numCache>
                <c:formatCode>#,##0.0_ ;\(#,##0.0\)</c:formatCode>
                <c:ptCount val="8"/>
                <c:pt idx="0">
                  <c:v>-224</c:v>
                </c:pt>
                <c:pt idx="1">
                  <c:v>-112</c:v>
                </c:pt>
                <c:pt idx="2">
                  <c:v>-114.35599999999977</c:v>
                </c:pt>
                <c:pt idx="3">
                  <c:v>251.58320000000094</c:v>
                </c:pt>
                <c:pt idx="4">
                  <c:v>691.85380000000077</c:v>
                </c:pt>
                <c:pt idx="5">
                  <c:v>1217.6626880000003</c:v>
                </c:pt>
                <c:pt idx="6">
                  <c:v>1841.7148155999994</c:v>
                </c:pt>
                <c:pt idx="7">
                  <c:v>2578.4007418400015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3-4339-B9E3-DD281E9F84ED}"/>
            </c:ext>
          </c:extLst>
        </c:ser>
        <c:ser>
          <c:idx val="1"/>
          <c:order val="1"/>
          <c:tx>
            <c:v>Net Profit</c:v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Statement'!$C$6:$J$6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2025P</c:v>
                </c:pt>
                <c:pt idx="3">
                  <c:v>2026P</c:v>
                </c:pt>
                <c:pt idx="4">
                  <c:v>2027P</c:v>
                </c:pt>
                <c:pt idx="5">
                  <c:v>2028P</c:v>
                </c:pt>
                <c:pt idx="6">
                  <c:v>2029P</c:v>
                </c:pt>
                <c:pt idx="7">
                  <c:v>2030P</c:v>
                </c:pt>
              </c:strCache>
            </c:strRef>
          </c:cat>
          <c:val>
            <c:numRef>
              <c:f>'Income Statement'!$C$22:$J$22</c:f>
              <c:numCache>
                <c:formatCode>#,##0.0_ ;\(#,##0.0\)</c:formatCode>
                <c:ptCount val="8"/>
                <c:pt idx="0">
                  <c:v>-556</c:v>
                </c:pt>
                <c:pt idx="1">
                  <c:v>-515</c:v>
                </c:pt>
                <c:pt idx="2">
                  <c:v>-371.48479999999984</c:v>
                </c:pt>
                <c:pt idx="3">
                  <c:v>-78.733439999999248</c:v>
                </c:pt>
                <c:pt idx="4">
                  <c:v>273.48304000000064</c:v>
                </c:pt>
                <c:pt idx="5">
                  <c:v>694.13015040000028</c:v>
                </c:pt>
                <c:pt idx="6">
                  <c:v>1193.3718524799995</c:v>
                </c:pt>
                <c:pt idx="7">
                  <c:v>1782.7205934720012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3-4339-B9E3-DD281E9F8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937680"/>
        <c:axId val="61570389"/>
      </c:lineChart>
      <c:catAx>
        <c:axId val="849376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570389"/>
        <c:crosses val="autoZero"/>
        <c:auto val="1"/>
        <c:lblAlgn val="ctr"/>
        <c:lblOffset val="100"/>
        <c:noMultiLvlLbl val="0"/>
      </c:catAx>
      <c:valAx>
        <c:axId val="6157038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_ ;\(#,##0.0\)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37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Growth Rate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Growth %</c:v>
          </c:tx>
          <c:spPr>
            <a:ln w="24840">
              <a:solidFill>
                <a:srgbClr val="7030A0"/>
              </a:solidFill>
              <a:round/>
            </a:ln>
          </c:spPr>
          <c:marker>
            <c:symbol val="diamond"/>
            <c:size val="7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'Ratio Analysis'!$D$6:$J$6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'Ratio Analysis'!$D$8:$J$8</c:f>
              <c:numCache>
                <c:formatCode>0.00%</c:formatCode>
                <c:ptCount val="7"/>
                <c:pt idx="0">
                  <c:v>1.602814698983579E-2</c:v>
                </c:pt>
                <c:pt idx="1">
                  <c:v>0.10000000000000009</c:v>
                </c:pt>
                <c:pt idx="2">
                  <c:v>0.10000000000000009</c:v>
                </c:pt>
                <c:pt idx="3">
                  <c:v>0.10000000000000009</c:v>
                </c:pt>
                <c:pt idx="4">
                  <c:v>0.10000000000000009</c:v>
                </c:pt>
                <c:pt idx="5">
                  <c:v>0.10000000000000009</c:v>
                </c:pt>
                <c:pt idx="6">
                  <c:v>0.10000000000000009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2F-4024-B4CC-2E8969ED6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208450"/>
        <c:axId val="92267861"/>
      </c:lineChart>
      <c:catAx>
        <c:axId val="34208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67861"/>
        <c:crosses val="autoZero"/>
        <c:auto val="1"/>
        <c:lblAlgn val="ctr"/>
        <c:lblOffset val="100"/>
        <c:noMultiLvlLbl val="0"/>
      </c:catAx>
      <c:valAx>
        <c:axId val="9226786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Growth 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08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531360</xdr:colOff>
      <xdr:row>21</xdr:row>
      <xdr:rowOff>6480</xdr:rowOff>
    </xdr:from>
    <xdr:to>
      <xdr:col>13</xdr:col>
      <xdr:colOff>239040</xdr:colOff>
      <xdr:row>34</xdr:row>
      <xdr:rowOff>64800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200160</xdr:colOff>
      <xdr:row>21</xdr:row>
      <xdr:rowOff>55440</xdr:rowOff>
    </xdr:from>
    <xdr:to>
      <xdr:col>30</xdr:col>
      <xdr:colOff>151560</xdr:colOff>
      <xdr:row>35</xdr:row>
      <xdr:rowOff>109800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226440</xdr:colOff>
      <xdr:row>3</xdr:row>
      <xdr:rowOff>175680</xdr:rowOff>
    </xdr:from>
    <xdr:to>
      <xdr:col>29</xdr:col>
      <xdr:colOff>260640</xdr:colOff>
      <xdr:row>19</xdr:row>
      <xdr:rowOff>31680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576000</xdr:colOff>
      <xdr:row>3</xdr:row>
      <xdr:rowOff>167040</xdr:rowOff>
    </xdr:from>
    <xdr:to>
      <xdr:col>13</xdr:col>
      <xdr:colOff>239040</xdr:colOff>
      <xdr:row>17</xdr:row>
      <xdr:rowOff>173880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9"/>
  <sheetViews>
    <sheetView showGridLines="0" zoomScaleNormal="100" workbookViewId="0">
      <selection activeCell="N28" sqref="N28"/>
    </sheetView>
  </sheetViews>
  <sheetFormatPr defaultColWidth="8.6640625" defaultRowHeight="14.4" x14ac:dyDescent="0.3"/>
  <cols>
    <col min="1" max="1" width="2.33203125" style="1" customWidth="1"/>
    <col min="2" max="2" width="31" style="1" customWidth="1"/>
    <col min="3" max="3" width="12.77734375" style="1" customWidth="1"/>
    <col min="4" max="10" width="12.77734375" style="2" customWidth="1"/>
  </cols>
  <sheetData>
    <row r="3" spans="1:12" ht="21" customHeight="1" x14ac:dyDescent="0.5">
      <c r="B3" s="3" t="s">
        <v>0</v>
      </c>
    </row>
    <row r="4" spans="1:12" ht="14.25" customHeight="1" x14ac:dyDescent="0.3">
      <c r="A4" s="1" t="s">
        <v>1</v>
      </c>
    </row>
    <row r="5" spans="1:12" ht="14.25" customHeight="1" x14ac:dyDescent="0.3">
      <c r="B5" s="4" t="s">
        <v>2</v>
      </c>
      <c r="C5" s="158" t="s">
        <v>3</v>
      </c>
      <c r="D5" s="158"/>
      <c r="E5" s="158" t="s">
        <v>4</v>
      </c>
      <c r="F5" s="158"/>
      <c r="G5" s="158"/>
      <c r="H5" s="158"/>
      <c r="I5" s="158"/>
      <c r="J5" s="158"/>
    </row>
    <row r="6" spans="1:12" ht="14.25" customHeight="1" x14ac:dyDescent="0.3">
      <c r="B6" s="5" t="s">
        <v>5</v>
      </c>
      <c r="C6" s="6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</row>
    <row r="8" spans="1:12" ht="14.25" customHeight="1" x14ac:dyDescent="0.3">
      <c r="B8" s="1" t="s">
        <v>14</v>
      </c>
      <c r="C8" s="8">
        <v>10232</v>
      </c>
      <c r="D8" s="9">
        <v>10396</v>
      </c>
      <c r="E8" s="9">
        <f t="shared" ref="E8:J8" si="0">D8*(1+E25)</f>
        <v>11435.6</v>
      </c>
      <c r="F8" s="9">
        <f t="shared" si="0"/>
        <v>12579.160000000002</v>
      </c>
      <c r="G8" s="9">
        <f t="shared" si="0"/>
        <v>13837.076000000003</v>
      </c>
      <c r="H8" s="9">
        <f t="shared" si="0"/>
        <v>15220.783600000004</v>
      </c>
      <c r="I8" s="9">
        <f t="shared" si="0"/>
        <v>16742.861960000006</v>
      </c>
      <c r="J8" s="9">
        <f t="shared" si="0"/>
        <v>18417.148156000007</v>
      </c>
      <c r="K8" s="10"/>
      <c r="L8" s="10"/>
    </row>
    <row r="9" spans="1:12" ht="14.25" customHeight="1" x14ac:dyDescent="0.3">
      <c r="B9" s="1" t="s">
        <v>15</v>
      </c>
      <c r="C9" s="8">
        <v>5113</v>
      </c>
      <c r="D9" s="9">
        <v>5174</v>
      </c>
      <c r="E9" s="9">
        <f t="shared" ref="E9:J9" si="1">E8*E26</f>
        <v>5717.8</v>
      </c>
      <c r="F9" s="9">
        <f t="shared" si="1"/>
        <v>6163.7884000000004</v>
      </c>
      <c r="G9" s="9">
        <f t="shared" si="1"/>
        <v>6641.7964800000009</v>
      </c>
      <c r="H9" s="9">
        <f t="shared" si="1"/>
        <v>7153.7682920000016</v>
      </c>
      <c r="I9" s="9">
        <f t="shared" si="1"/>
        <v>7701.7165016000026</v>
      </c>
      <c r="J9" s="9">
        <f t="shared" si="1"/>
        <v>8287.7166702000031</v>
      </c>
    </row>
    <row r="10" spans="1:12" ht="14.25" customHeight="1" x14ac:dyDescent="0.3">
      <c r="B10" s="11" t="s">
        <v>16</v>
      </c>
      <c r="C10" s="12">
        <f t="shared" ref="C10:J10" si="2">C8-C9</f>
        <v>5119</v>
      </c>
      <c r="D10" s="13">
        <f t="shared" si="2"/>
        <v>5222</v>
      </c>
      <c r="E10" s="13">
        <f t="shared" si="2"/>
        <v>5717.8</v>
      </c>
      <c r="F10" s="13">
        <f t="shared" si="2"/>
        <v>6415.3716000000013</v>
      </c>
      <c r="G10" s="13">
        <f t="shared" si="2"/>
        <v>7195.2795200000019</v>
      </c>
      <c r="H10" s="13">
        <f t="shared" si="2"/>
        <v>8067.0153080000027</v>
      </c>
      <c r="I10" s="13">
        <f t="shared" si="2"/>
        <v>9041.1454584000021</v>
      </c>
      <c r="J10" s="13">
        <f t="shared" si="2"/>
        <v>10129.431485800003</v>
      </c>
    </row>
    <row r="12" spans="1:12" ht="14.25" customHeight="1" x14ac:dyDescent="0.3">
      <c r="B12" s="1" t="s">
        <v>17</v>
      </c>
      <c r="C12" s="8">
        <v>5343</v>
      </c>
      <c r="D12" s="9">
        <v>5334</v>
      </c>
      <c r="E12" s="9">
        <f t="shared" ref="E12:J12" si="3">E8*E27</f>
        <v>5832.1559999999999</v>
      </c>
      <c r="F12" s="9">
        <f t="shared" si="3"/>
        <v>6163.7884000000004</v>
      </c>
      <c r="G12" s="9">
        <f t="shared" si="3"/>
        <v>6503.4257200000011</v>
      </c>
      <c r="H12" s="9">
        <f t="shared" si="3"/>
        <v>6849.3526200000024</v>
      </c>
      <c r="I12" s="9">
        <f t="shared" si="3"/>
        <v>7199.4306428000027</v>
      </c>
      <c r="J12" s="9">
        <f t="shared" si="3"/>
        <v>7551.0307439600019</v>
      </c>
    </row>
    <row r="13" spans="1:12" ht="14.25" customHeight="1" x14ac:dyDescent="0.3">
      <c r="B13" s="11" t="s">
        <v>18</v>
      </c>
      <c r="C13" s="14">
        <f t="shared" ref="C13:J13" si="4">C10-C12</f>
        <v>-224</v>
      </c>
      <c r="D13" s="14">
        <f t="shared" si="4"/>
        <v>-112</v>
      </c>
      <c r="E13" s="14">
        <f t="shared" si="4"/>
        <v>-114.35599999999977</v>
      </c>
      <c r="F13" s="14">
        <f t="shared" si="4"/>
        <v>251.58320000000094</v>
      </c>
      <c r="G13" s="14">
        <f t="shared" si="4"/>
        <v>691.85380000000077</v>
      </c>
      <c r="H13" s="14">
        <f t="shared" si="4"/>
        <v>1217.6626880000003</v>
      </c>
      <c r="I13" s="14">
        <f t="shared" si="4"/>
        <v>1841.7148155999994</v>
      </c>
      <c r="J13" s="14">
        <f t="shared" si="4"/>
        <v>2578.4007418400015</v>
      </c>
    </row>
    <row r="15" spans="1:12" ht="14.25" customHeight="1" x14ac:dyDescent="0.3">
      <c r="B15" s="1" t="s">
        <v>19</v>
      </c>
      <c r="C15" s="15" t="s">
        <v>20</v>
      </c>
      <c r="D15" s="16" t="s">
        <v>20</v>
      </c>
      <c r="E15" s="16" t="s">
        <v>21</v>
      </c>
      <c r="F15" s="16" t="s">
        <v>21</v>
      </c>
      <c r="G15" s="16" t="s">
        <v>21</v>
      </c>
      <c r="H15" s="16" t="s">
        <v>21</v>
      </c>
      <c r="I15" s="16" t="s">
        <v>21</v>
      </c>
      <c r="J15" s="16" t="s">
        <v>21</v>
      </c>
    </row>
    <row r="16" spans="1:12" ht="14.25" customHeight="1" x14ac:dyDescent="0.3">
      <c r="B16" s="11" t="s">
        <v>22</v>
      </c>
      <c r="C16" s="14">
        <f t="shared" ref="C16:J16" si="5">C13</f>
        <v>-224</v>
      </c>
      <c r="D16" s="14">
        <f t="shared" si="5"/>
        <v>-112</v>
      </c>
      <c r="E16" s="14">
        <f t="shared" si="5"/>
        <v>-114.35599999999977</v>
      </c>
      <c r="F16" s="14">
        <f t="shared" si="5"/>
        <v>251.58320000000094</v>
      </c>
      <c r="G16" s="14">
        <f t="shared" si="5"/>
        <v>691.85380000000077</v>
      </c>
      <c r="H16" s="14">
        <f t="shared" si="5"/>
        <v>1217.6626880000003</v>
      </c>
      <c r="I16" s="14">
        <f t="shared" si="5"/>
        <v>1841.7148155999994</v>
      </c>
      <c r="J16" s="14">
        <f t="shared" si="5"/>
        <v>2578.4007418400015</v>
      </c>
    </row>
    <row r="17" spans="1:10" ht="14.25" customHeight="1" x14ac:dyDescent="0.3">
      <c r="B17" s="1" t="s">
        <v>23</v>
      </c>
      <c r="C17" s="8">
        <v>310</v>
      </c>
      <c r="D17" s="9">
        <v>406</v>
      </c>
      <c r="E17" s="9">
        <f t="shared" ref="E17:J17" si="6">E28</f>
        <v>350</v>
      </c>
      <c r="F17" s="9">
        <f t="shared" si="6"/>
        <v>350</v>
      </c>
      <c r="G17" s="9">
        <f t="shared" si="6"/>
        <v>350</v>
      </c>
      <c r="H17" s="9">
        <f t="shared" si="6"/>
        <v>350</v>
      </c>
      <c r="I17" s="9">
        <f t="shared" si="6"/>
        <v>350</v>
      </c>
      <c r="J17" s="9">
        <f t="shared" si="6"/>
        <v>350</v>
      </c>
    </row>
    <row r="18" spans="1:10" ht="14.25" customHeight="1" x14ac:dyDescent="0.3">
      <c r="C18" s="8"/>
      <c r="D18" s="9"/>
      <c r="E18" s="9"/>
      <c r="F18" s="9"/>
      <c r="G18" s="9"/>
      <c r="H18" s="9"/>
      <c r="I18" s="9"/>
      <c r="J18" s="9"/>
    </row>
    <row r="19" spans="1:10" ht="14.25" customHeight="1" x14ac:dyDescent="0.3">
      <c r="B19" s="11" t="s">
        <v>24</v>
      </c>
      <c r="C19" s="14">
        <f t="shared" ref="C19:J19" si="7">C16-C17</f>
        <v>-534</v>
      </c>
      <c r="D19" s="14">
        <f t="shared" si="7"/>
        <v>-518</v>
      </c>
      <c r="E19" s="14">
        <f t="shared" si="7"/>
        <v>-464.35599999999977</v>
      </c>
      <c r="F19" s="14">
        <f t="shared" si="7"/>
        <v>-98.416799999999057</v>
      </c>
      <c r="G19" s="14">
        <f t="shared" si="7"/>
        <v>341.85380000000077</v>
      </c>
      <c r="H19" s="14">
        <f t="shared" si="7"/>
        <v>867.66268800000034</v>
      </c>
      <c r="I19" s="14">
        <f t="shared" si="7"/>
        <v>1491.7148155999994</v>
      </c>
      <c r="J19" s="14">
        <f t="shared" si="7"/>
        <v>2228.4007418400015</v>
      </c>
    </row>
    <row r="21" spans="1:10" ht="15" customHeight="1" thickBot="1" x14ac:dyDescent="0.35">
      <c r="B21" s="1" t="s">
        <v>25</v>
      </c>
      <c r="C21" s="8">
        <v>22</v>
      </c>
      <c r="D21" s="17">
        <v>-3</v>
      </c>
      <c r="E21" s="8">
        <f t="shared" ref="E21:J21" si="8">E19*E29</f>
        <v>-92.871199999999959</v>
      </c>
      <c r="F21" s="8">
        <f t="shared" si="8"/>
        <v>-19.683359999999812</v>
      </c>
      <c r="G21" s="8">
        <f t="shared" si="8"/>
        <v>68.370760000000161</v>
      </c>
      <c r="H21" s="8">
        <f t="shared" si="8"/>
        <v>173.53253760000007</v>
      </c>
      <c r="I21" s="8">
        <f t="shared" si="8"/>
        <v>298.34296311999987</v>
      </c>
      <c r="J21" s="8">
        <f t="shared" si="8"/>
        <v>445.68014836800035</v>
      </c>
    </row>
    <row r="22" spans="1:10" ht="15" customHeight="1" thickBot="1" x14ac:dyDescent="0.35">
      <c r="B22" s="156" t="s">
        <v>26</v>
      </c>
      <c r="C22" s="157">
        <f t="shared" ref="C22:J22" si="9">C19-C21</f>
        <v>-556</v>
      </c>
      <c r="D22" s="157">
        <f t="shared" si="9"/>
        <v>-515</v>
      </c>
      <c r="E22" s="157">
        <f t="shared" si="9"/>
        <v>-371.48479999999984</v>
      </c>
      <c r="F22" s="157">
        <f t="shared" si="9"/>
        <v>-78.733439999999248</v>
      </c>
      <c r="G22" s="157">
        <f t="shared" si="9"/>
        <v>273.48304000000064</v>
      </c>
      <c r="H22" s="157">
        <f t="shared" si="9"/>
        <v>694.13015040000028</v>
      </c>
      <c r="I22" s="157">
        <f t="shared" si="9"/>
        <v>1193.3718524799995</v>
      </c>
      <c r="J22" s="157">
        <f t="shared" si="9"/>
        <v>1782.7205934720012</v>
      </c>
    </row>
    <row r="23" spans="1:10" ht="15" thickTop="1" x14ac:dyDescent="0.3"/>
    <row r="24" spans="1:10" ht="14.25" customHeight="1" x14ac:dyDescent="0.3">
      <c r="B24" s="18" t="s">
        <v>27</v>
      </c>
    </row>
    <row r="25" spans="1:10" ht="14.25" customHeight="1" x14ac:dyDescent="0.3">
      <c r="A25" s="1" t="s">
        <v>28</v>
      </c>
      <c r="B25" s="19" t="s">
        <v>29</v>
      </c>
      <c r="C25" s="20">
        <v>0.1</v>
      </c>
      <c r="D25" s="21">
        <v>0.1</v>
      </c>
      <c r="E25" s="21">
        <v>0.1</v>
      </c>
      <c r="F25" s="21">
        <v>0.1</v>
      </c>
      <c r="G25" s="21">
        <v>0.1</v>
      </c>
      <c r="H25" s="21">
        <v>0.1</v>
      </c>
      <c r="I25" s="21">
        <v>0.1</v>
      </c>
      <c r="J25" s="21">
        <v>0.1</v>
      </c>
    </row>
    <row r="26" spans="1:10" ht="14.25" customHeight="1" x14ac:dyDescent="0.3">
      <c r="A26" s="1" t="s">
        <v>30</v>
      </c>
      <c r="B26" s="19" t="s">
        <v>31</v>
      </c>
      <c r="C26" s="22">
        <f>C9/C8</f>
        <v>0.49970680218921032</v>
      </c>
      <c r="D26" s="23">
        <f>D9/D8</f>
        <v>0.49769141977683723</v>
      </c>
      <c r="E26" s="23">
        <v>0.5</v>
      </c>
      <c r="F26" s="23">
        <v>0.49</v>
      </c>
      <c r="G26" s="23">
        <v>0.48</v>
      </c>
      <c r="H26" s="23">
        <v>0.47</v>
      </c>
      <c r="I26" s="23">
        <v>0.46</v>
      </c>
      <c r="J26" s="23">
        <v>0.45</v>
      </c>
    </row>
    <row r="27" spans="1:10" ht="14.25" customHeight="1" x14ac:dyDescent="0.3">
      <c r="A27" s="1" t="s">
        <v>32</v>
      </c>
      <c r="B27" s="19" t="s">
        <v>33</v>
      </c>
      <c r="C27" s="22">
        <f>C12/C8</f>
        <v>0.52218530101641902</v>
      </c>
      <c r="D27" s="22">
        <f>D12/D8</f>
        <v>0.51308195459792227</v>
      </c>
      <c r="E27" s="22">
        <v>0.51</v>
      </c>
      <c r="F27" s="22">
        <v>0.49</v>
      </c>
      <c r="G27" s="22">
        <v>0.47</v>
      </c>
      <c r="H27" s="22">
        <v>0.45</v>
      </c>
      <c r="I27" s="22">
        <v>0.43</v>
      </c>
      <c r="J27" s="22">
        <v>0.41</v>
      </c>
    </row>
    <row r="28" spans="1:10" ht="14.25" customHeight="1" x14ac:dyDescent="0.3">
      <c r="A28" s="1" t="s">
        <v>34</v>
      </c>
      <c r="B28" s="19" t="s">
        <v>35</v>
      </c>
      <c r="C28" s="19"/>
      <c r="D28" s="24"/>
      <c r="E28" s="25">
        <v>350</v>
      </c>
      <c r="F28" s="25">
        <v>350</v>
      </c>
      <c r="G28" s="25">
        <v>350</v>
      </c>
      <c r="H28" s="25">
        <v>350</v>
      </c>
      <c r="I28" s="25">
        <v>350</v>
      </c>
      <c r="J28" s="25">
        <v>350</v>
      </c>
    </row>
    <row r="29" spans="1:10" ht="14.25" customHeight="1" x14ac:dyDescent="0.3">
      <c r="A29" s="1" t="s">
        <v>36</v>
      </c>
      <c r="B29" s="19" t="s">
        <v>37</v>
      </c>
      <c r="C29" s="19"/>
      <c r="D29" s="24"/>
      <c r="E29" s="21">
        <v>0.2</v>
      </c>
      <c r="F29" s="21">
        <f>E29</f>
        <v>0.2</v>
      </c>
      <c r="G29" s="21">
        <f>F29</f>
        <v>0.2</v>
      </c>
      <c r="H29" s="21">
        <f>G29</f>
        <v>0.2</v>
      </c>
      <c r="I29" s="21">
        <f>H29</f>
        <v>0.2</v>
      </c>
      <c r="J29" s="21">
        <f>I29</f>
        <v>0.2</v>
      </c>
    </row>
  </sheetData>
  <mergeCells count="2">
    <mergeCell ref="C5:D5"/>
    <mergeCell ref="E5:J5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showGridLines="0" topLeftCell="A54" zoomScaleNormal="100" workbookViewId="0">
      <selection activeCell="F6" sqref="F6"/>
    </sheetView>
  </sheetViews>
  <sheetFormatPr defaultColWidth="8.6640625" defaultRowHeight="14.4" x14ac:dyDescent="0.3"/>
  <cols>
    <col min="1" max="1" width="2.33203125" style="1" customWidth="1"/>
    <col min="2" max="2" width="36.109375" style="1" customWidth="1"/>
    <col min="3" max="10" width="12.77734375" style="1" customWidth="1"/>
  </cols>
  <sheetData>
    <row r="2" spans="1:10" ht="14.25" customHeight="1" x14ac:dyDescent="0.3">
      <c r="B2" s="159" t="s">
        <v>0</v>
      </c>
      <c r="C2" s="159"/>
    </row>
    <row r="3" spans="1:10" ht="14.25" customHeight="1" x14ac:dyDescent="0.3">
      <c r="B3" s="159"/>
      <c r="C3" s="159"/>
    </row>
    <row r="4" spans="1:10" ht="14.25" customHeight="1" x14ac:dyDescent="0.3">
      <c r="A4" s="18" t="s">
        <v>1</v>
      </c>
      <c r="B4" s="4" t="s">
        <v>38</v>
      </c>
      <c r="C4" s="26"/>
      <c r="D4" s="26"/>
    </row>
    <row r="5" spans="1:10" ht="14.25" customHeight="1" x14ac:dyDescent="0.3">
      <c r="A5" s="18"/>
      <c r="B5" s="4" t="s">
        <v>5</v>
      </c>
      <c r="C5" s="27">
        <v>2023</v>
      </c>
      <c r="D5" s="28">
        <v>2024</v>
      </c>
    </row>
    <row r="7" spans="1:10" ht="14.25" customHeight="1" x14ac:dyDescent="0.3">
      <c r="B7" s="29" t="s">
        <v>39</v>
      </c>
      <c r="C7" s="30"/>
    </row>
    <row r="8" spans="1:10" ht="14.25" customHeight="1" x14ac:dyDescent="0.3">
      <c r="B8" s="30" t="s">
        <v>40</v>
      </c>
      <c r="C8" s="8">
        <v>88</v>
      </c>
      <c r="D8" s="8">
        <v>88</v>
      </c>
      <c r="F8" s="31"/>
      <c r="G8" s="31"/>
      <c r="H8" s="31"/>
      <c r="I8" s="31"/>
      <c r="J8" s="31"/>
    </row>
    <row r="9" spans="1:10" ht="14.25" customHeight="1" x14ac:dyDescent="0.3">
      <c r="B9" s="30" t="s">
        <v>41</v>
      </c>
      <c r="C9" s="8">
        <v>503</v>
      </c>
      <c r="D9" s="8">
        <v>545</v>
      </c>
    </row>
    <row r="10" spans="1:10" ht="12" customHeight="1" x14ac:dyDescent="0.3">
      <c r="B10" s="30" t="s">
        <v>42</v>
      </c>
      <c r="C10" s="8">
        <v>800</v>
      </c>
      <c r="D10" s="8">
        <v>773</v>
      </c>
    </row>
    <row r="11" spans="1:10" ht="12" customHeight="1" x14ac:dyDescent="0.3">
      <c r="B11" s="30" t="s">
        <v>43</v>
      </c>
      <c r="C11" s="8">
        <v>200</v>
      </c>
      <c r="D11" s="8">
        <v>201</v>
      </c>
      <c r="F11" s="8"/>
      <c r="G11" s="8"/>
      <c r="H11" s="8"/>
      <c r="I11" s="8"/>
      <c r="J11" s="8"/>
    </row>
    <row r="12" spans="1:10" ht="12" customHeight="1" x14ac:dyDescent="0.3">
      <c r="B12" s="30" t="s">
        <v>44</v>
      </c>
      <c r="C12" s="8">
        <v>2557</v>
      </c>
      <c r="D12" s="8">
        <v>2459</v>
      </c>
    </row>
    <row r="13" spans="1:10" ht="12" customHeight="1" x14ac:dyDescent="0.3">
      <c r="B13" s="30" t="s">
        <v>45</v>
      </c>
      <c r="C13" s="8" t="s">
        <v>46</v>
      </c>
      <c r="D13" s="8" t="s">
        <v>46</v>
      </c>
    </row>
    <row r="14" spans="1:10" ht="12" customHeight="1" x14ac:dyDescent="0.3">
      <c r="B14" s="30" t="s">
        <v>47</v>
      </c>
      <c r="C14" s="8">
        <v>22</v>
      </c>
      <c r="D14" s="8">
        <v>15</v>
      </c>
    </row>
    <row r="15" spans="1:10" ht="12" customHeight="1" x14ac:dyDescent="0.3">
      <c r="B15" s="30" t="s">
        <v>48</v>
      </c>
      <c r="C15" s="8">
        <v>58</v>
      </c>
      <c r="D15" s="8">
        <v>68</v>
      </c>
    </row>
    <row r="16" spans="1:10" ht="12" customHeight="1" x14ac:dyDescent="0.3">
      <c r="B16" s="30" t="s">
        <v>49</v>
      </c>
      <c r="C16" s="8" t="s">
        <v>46</v>
      </c>
      <c r="D16" s="8">
        <v>1</v>
      </c>
    </row>
    <row r="17" spans="2:4" ht="12" customHeight="1" x14ac:dyDescent="0.3">
      <c r="B17" s="30" t="s">
        <v>50</v>
      </c>
      <c r="C17" s="8">
        <v>11911</v>
      </c>
      <c r="D17" s="8">
        <v>9051</v>
      </c>
    </row>
    <row r="18" spans="2:4" ht="12" customHeight="1" x14ac:dyDescent="0.3">
      <c r="B18" s="30" t="s">
        <v>51</v>
      </c>
      <c r="C18" s="8">
        <v>21</v>
      </c>
      <c r="D18" s="8">
        <v>11</v>
      </c>
    </row>
    <row r="19" spans="2:4" ht="12" customHeight="1" x14ac:dyDescent="0.3">
      <c r="B19" s="30" t="s">
        <v>52</v>
      </c>
      <c r="C19" s="8">
        <v>4</v>
      </c>
      <c r="D19" s="8">
        <v>4</v>
      </c>
    </row>
    <row r="20" spans="2:4" ht="12" customHeight="1" x14ac:dyDescent="0.3"/>
    <row r="21" spans="2:4" ht="12" customHeight="1" x14ac:dyDescent="0.3">
      <c r="B21" s="32" t="s">
        <v>53</v>
      </c>
      <c r="C21" s="33">
        <v>16164</v>
      </c>
      <c r="D21" s="33">
        <v>13216</v>
      </c>
    </row>
    <row r="22" spans="2:4" ht="12" customHeight="1" x14ac:dyDescent="0.3">
      <c r="B22" s="29"/>
      <c r="C22" s="8"/>
      <c r="D22" s="8"/>
    </row>
    <row r="23" spans="2:4" ht="12" customHeight="1" x14ac:dyDescent="0.3">
      <c r="B23" s="29" t="s">
        <v>54</v>
      </c>
      <c r="C23" s="8"/>
      <c r="D23" s="8"/>
    </row>
    <row r="24" spans="2:4" ht="12" customHeight="1" x14ac:dyDescent="0.3">
      <c r="B24" s="30" t="s">
        <v>55</v>
      </c>
      <c r="C24" s="8">
        <v>1611</v>
      </c>
      <c r="D24" s="8">
        <v>1471</v>
      </c>
    </row>
    <row r="25" spans="2:4" ht="12" customHeight="1" x14ac:dyDescent="0.3">
      <c r="B25" s="30" t="s">
        <v>50</v>
      </c>
      <c r="C25" s="8">
        <v>3526</v>
      </c>
      <c r="D25" s="8">
        <v>4679</v>
      </c>
    </row>
    <row r="26" spans="2:4" ht="12" customHeight="1" x14ac:dyDescent="0.3">
      <c r="B26" s="30" t="s">
        <v>56</v>
      </c>
      <c r="C26" s="8">
        <v>178</v>
      </c>
      <c r="D26" s="8">
        <v>181</v>
      </c>
    </row>
    <row r="27" spans="2:4" ht="12" customHeight="1" x14ac:dyDescent="0.3">
      <c r="B27" s="30" t="s">
        <v>51</v>
      </c>
      <c r="C27" s="8">
        <v>38</v>
      </c>
      <c r="D27" s="8">
        <v>32</v>
      </c>
    </row>
    <row r="28" spans="2:4" ht="12" customHeight="1" x14ac:dyDescent="0.3">
      <c r="B28" s="30" t="s">
        <v>57</v>
      </c>
      <c r="C28" s="8">
        <v>63</v>
      </c>
      <c r="D28" s="8">
        <v>55</v>
      </c>
    </row>
    <row r="29" spans="2:4" ht="12" customHeight="1" x14ac:dyDescent="0.3">
      <c r="B29" s="30"/>
      <c r="C29" s="8"/>
      <c r="D29" s="8"/>
    </row>
    <row r="30" spans="2:4" ht="12" customHeight="1" x14ac:dyDescent="0.3">
      <c r="B30" s="32" t="s">
        <v>58</v>
      </c>
      <c r="C30" s="33">
        <v>5416</v>
      </c>
      <c r="D30" s="33">
        <v>6418</v>
      </c>
    </row>
    <row r="31" spans="2:4" ht="12" customHeight="1" x14ac:dyDescent="0.3">
      <c r="B31" s="30"/>
      <c r="C31" s="8"/>
      <c r="D31" s="8"/>
    </row>
    <row r="32" spans="2:4" ht="12" customHeight="1" x14ac:dyDescent="0.3">
      <c r="B32" s="34" t="s">
        <v>59</v>
      </c>
      <c r="C32" s="35">
        <v>21580</v>
      </c>
      <c r="D32" s="35">
        <v>19634</v>
      </c>
    </row>
    <row r="33" spans="2:4" ht="12" customHeight="1" x14ac:dyDescent="0.3">
      <c r="B33" s="30"/>
      <c r="C33" s="8"/>
      <c r="D33" s="8"/>
    </row>
    <row r="34" spans="2:4" ht="12" customHeight="1" x14ac:dyDescent="0.3">
      <c r="B34" s="29" t="s">
        <v>60</v>
      </c>
      <c r="C34" s="8"/>
      <c r="D34" s="8"/>
    </row>
    <row r="35" spans="2:4" ht="12" customHeight="1" x14ac:dyDescent="0.3">
      <c r="B35" s="30" t="s">
        <v>61</v>
      </c>
      <c r="C35" s="8">
        <v>12414</v>
      </c>
      <c r="D35" s="8">
        <v>12215</v>
      </c>
    </row>
    <row r="36" spans="2:4" ht="12" customHeight="1" x14ac:dyDescent="0.3">
      <c r="B36" s="30" t="s">
        <v>62</v>
      </c>
      <c r="C36" s="8">
        <v>27</v>
      </c>
      <c r="D36" s="8">
        <v>36</v>
      </c>
    </row>
    <row r="37" spans="2:4" ht="12" customHeight="1" x14ac:dyDescent="0.3">
      <c r="B37" s="30" t="s">
        <v>63</v>
      </c>
      <c r="C37" s="8">
        <v>15</v>
      </c>
      <c r="D37" s="8">
        <v>15</v>
      </c>
    </row>
    <row r="38" spans="2:4" ht="12" customHeight="1" x14ac:dyDescent="0.3">
      <c r="B38" s="30" t="s">
        <v>64</v>
      </c>
      <c r="C38" s="8">
        <v>51</v>
      </c>
      <c r="D38" s="8">
        <v>34</v>
      </c>
    </row>
    <row r="39" spans="2:4" ht="12" customHeight="1" x14ac:dyDescent="0.3">
      <c r="B39" s="30"/>
      <c r="C39" s="8"/>
      <c r="D39" s="8"/>
    </row>
    <row r="40" spans="2:4" ht="12" customHeight="1" x14ac:dyDescent="0.3">
      <c r="B40" s="32" t="s">
        <v>65</v>
      </c>
      <c r="C40" s="33">
        <v>12507</v>
      </c>
      <c r="D40" s="33">
        <v>12300</v>
      </c>
    </row>
    <row r="41" spans="2:4" ht="12" customHeight="1" x14ac:dyDescent="0.3">
      <c r="B41" s="29"/>
      <c r="C41" s="8"/>
      <c r="D41" s="8"/>
    </row>
    <row r="42" spans="2:4" ht="12" customHeight="1" x14ac:dyDescent="0.3">
      <c r="B42" s="29" t="s">
        <v>66</v>
      </c>
      <c r="C42" s="8"/>
      <c r="D42" s="8"/>
    </row>
    <row r="43" spans="2:4" ht="12" customHeight="1" x14ac:dyDescent="0.3">
      <c r="B43" s="30" t="s">
        <v>61</v>
      </c>
      <c r="C43" s="8">
        <v>4094</v>
      </c>
      <c r="D43" s="8">
        <v>1330</v>
      </c>
    </row>
    <row r="44" spans="2:4" ht="12" customHeight="1" x14ac:dyDescent="0.3">
      <c r="B44" s="30" t="s">
        <v>62</v>
      </c>
      <c r="C44" s="8">
        <v>155</v>
      </c>
      <c r="D44" s="8">
        <v>156</v>
      </c>
    </row>
    <row r="45" spans="2:4" ht="12" customHeight="1" x14ac:dyDescent="0.3">
      <c r="B45" s="30" t="s">
        <v>63</v>
      </c>
      <c r="C45" s="8">
        <v>3</v>
      </c>
      <c r="D45" s="8">
        <v>5</v>
      </c>
    </row>
    <row r="46" spans="2:4" ht="12" customHeight="1" x14ac:dyDescent="0.3">
      <c r="B46" s="30" t="s">
        <v>64</v>
      </c>
      <c r="C46" s="8">
        <v>130</v>
      </c>
      <c r="D46" s="8">
        <v>9</v>
      </c>
    </row>
    <row r="47" spans="2:4" ht="12" customHeight="1" x14ac:dyDescent="0.3">
      <c r="B47" s="30"/>
      <c r="C47" s="8"/>
      <c r="D47" s="8"/>
    </row>
    <row r="48" spans="2:4" ht="12" customHeight="1" x14ac:dyDescent="0.3">
      <c r="B48" s="32" t="s">
        <v>67</v>
      </c>
      <c r="C48" s="33">
        <v>4382</v>
      </c>
      <c r="D48" s="33">
        <v>1500</v>
      </c>
    </row>
    <row r="49" spans="2:4" ht="12" customHeight="1" x14ac:dyDescent="0.3">
      <c r="B49" s="30"/>
      <c r="C49" s="8"/>
      <c r="D49" s="8"/>
    </row>
    <row r="50" spans="2:4" ht="12" customHeight="1" x14ac:dyDescent="0.3">
      <c r="B50" s="29" t="s">
        <v>68</v>
      </c>
      <c r="C50" s="8">
        <v>10</v>
      </c>
      <c r="D50" s="8">
        <v>10</v>
      </c>
    </row>
    <row r="51" spans="2:4" ht="12" customHeight="1" x14ac:dyDescent="0.3">
      <c r="B51" s="30" t="s">
        <v>69</v>
      </c>
      <c r="C51" s="8">
        <v>1</v>
      </c>
      <c r="D51" s="8">
        <v>886</v>
      </c>
    </row>
    <row r="52" spans="2:4" ht="12" customHeight="1" x14ac:dyDescent="0.3">
      <c r="B52" s="30" t="s">
        <v>70</v>
      </c>
      <c r="C52" s="8">
        <v>4680</v>
      </c>
      <c r="D52" s="8">
        <v>4938</v>
      </c>
    </row>
    <row r="53" spans="2:4" ht="12" customHeight="1" x14ac:dyDescent="0.3">
      <c r="B53" s="30"/>
      <c r="C53" s="8"/>
      <c r="D53" s="8"/>
    </row>
    <row r="54" spans="2:4" ht="12" customHeight="1" x14ac:dyDescent="0.3">
      <c r="B54" s="32" t="s">
        <v>71</v>
      </c>
      <c r="C54" s="33">
        <v>4691</v>
      </c>
      <c r="D54" s="33">
        <v>5834</v>
      </c>
    </row>
    <row r="55" spans="2:4" ht="12" customHeight="1" x14ac:dyDescent="0.3">
      <c r="B55" s="29"/>
      <c r="C55" s="8"/>
      <c r="D55" s="8"/>
    </row>
    <row r="56" spans="2:4" ht="12" customHeight="1" x14ac:dyDescent="0.3">
      <c r="B56" s="34" t="s">
        <v>72</v>
      </c>
      <c r="C56" s="35">
        <v>21580</v>
      </c>
      <c r="D56" s="35">
        <v>19634</v>
      </c>
    </row>
    <row r="57" spans="2:4" ht="12" customHeight="1" x14ac:dyDescent="0.3"/>
    <row r="58" spans="2:4" ht="12" customHeight="1" x14ac:dyDescent="0.3">
      <c r="B58" s="36" t="s">
        <v>73</v>
      </c>
      <c r="C58" s="37" t="b">
        <f>C56=C32</f>
        <v>1</v>
      </c>
      <c r="D58" s="37" t="b">
        <f>D56=D32</f>
        <v>1</v>
      </c>
    </row>
    <row r="59" spans="2:4" ht="12" customHeight="1" x14ac:dyDescent="0.3"/>
  </sheetData>
  <mergeCells count="1">
    <mergeCell ref="B2:C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9"/>
  <sheetViews>
    <sheetView showGridLines="0" topLeftCell="A11" zoomScaleNormal="100" workbookViewId="0">
      <selection activeCell="B41" sqref="B41"/>
    </sheetView>
  </sheetViews>
  <sheetFormatPr defaultColWidth="8.6640625" defaultRowHeight="14.4" x14ac:dyDescent="0.3"/>
  <cols>
    <col min="1" max="1" width="2.33203125" style="1" customWidth="1"/>
    <col min="2" max="2" width="23.88671875" style="1" customWidth="1"/>
    <col min="3" max="10" width="12.77734375" style="1" customWidth="1"/>
    <col min="11" max="11" width="20.77734375" style="1" customWidth="1"/>
    <col min="12" max="13" width="12.77734375" style="1" customWidth="1"/>
  </cols>
  <sheetData>
    <row r="3" spans="2:13" ht="21" customHeight="1" x14ac:dyDescent="0.5">
      <c r="B3" s="3" t="s">
        <v>0</v>
      </c>
    </row>
    <row r="4" spans="2:13" ht="18" customHeight="1" x14ac:dyDescent="0.35">
      <c r="B4" s="38"/>
    </row>
    <row r="5" spans="2:13" ht="14.25" customHeight="1" x14ac:dyDescent="0.3">
      <c r="B5" s="39" t="s">
        <v>74</v>
      </c>
      <c r="C5" s="39"/>
      <c r="D5" s="39"/>
      <c r="E5" s="160" t="s">
        <v>75</v>
      </c>
      <c r="F5" s="160"/>
      <c r="G5" s="160"/>
      <c r="H5" s="160"/>
      <c r="I5" s="160"/>
      <c r="J5" s="160"/>
      <c r="K5" s="39"/>
      <c r="L5" s="39"/>
      <c r="M5" s="39"/>
    </row>
    <row r="6" spans="2:13" ht="14.25" customHeight="1" x14ac:dyDescent="0.3">
      <c r="B6" s="137" t="s">
        <v>5</v>
      </c>
      <c r="C6" s="137">
        <v>2023</v>
      </c>
      <c r="D6" s="137">
        <v>2024</v>
      </c>
      <c r="E6" s="137">
        <v>2025</v>
      </c>
      <c r="F6" s="137">
        <v>2026</v>
      </c>
      <c r="G6" s="137">
        <v>2027</v>
      </c>
      <c r="H6" s="137">
        <v>2028</v>
      </c>
      <c r="I6" s="137">
        <v>2029</v>
      </c>
      <c r="J6" s="137">
        <v>2030</v>
      </c>
      <c r="K6" s="137" t="s">
        <v>76</v>
      </c>
      <c r="L6" s="137" t="s">
        <v>77</v>
      </c>
      <c r="M6" s="137" t="s">
        <v>78</v>
      </c>
    </row>
    <row r="7" spans="2:13" x14ac:dyDescent="0.3">
      <c r="K7" s="139"/>
    </row>
    <row r="8" spans="2:13" ht="14.25" customHeight="1" x14ac:dyDescent="0.3">
      <c r="B8" s="150" t="s">
        <v>79</v>
      </c>
      <c r="C8" s="146" t="s">
        <v>21</v>
      </c>
      <c r="D8" s="40">
        <f>'Income Statement'!D8/'Income Statement'!C8-1</f>
        <v>1.602814698983579E-2</v>
      </c>
      <c r="E8" s="40">
        <f>'Income Statement'!E8/'Income Statement'!D8-1</f>
        <v>0.10000000000000009</v>
      </c>
      <c r="F8" s="40">
        <f>'Income Statement'!F8/'Income Statement'!E8-1</f>
        <v>0.10000000000000009</v>
      </c>
      <c r="G8" s="40">
        <f>'Income Statement'!G8/'Income Statement'!F8-1</f>
        <v>0.10000000000000009</v>
      </c>
      <c r="H8" s="40">
        <f>'Income Statement'!H8/'Income Statement'!G8-1</f>
        <v>0.10000000000000009</v>
      </c>
      <c r="I8" s="40">
        <f>'Income Statement'!I8/'Income Statement'!H8-1</f>
        <v>0.10000000000000009</v>
      </c>
      <c r="J8" s="40">
        <f>'Income Statement'!J8/'Income Statement'!I8-1</f>
        <v>0.10000000000000009</v>
      </c>
      <c r="K8" s="140"/>
      <c r="L8" s="40">
        <f>AVERAGE(D8:J8)</f>
        <v>8.8004020998548052E-2</v>
      </c>
      <c r="M8" s="40">
        <f>MEDIAN(D8:J8)</f>
        <v>0.10000000000000009</v>
      </c>
    </row>
    <row r="9" spans="2:13" ht="14.25" customHeight="1" x14ac:dyDescent="0.3">
      <c r="B9" s="151" t="s">
        <v>80</v>
      </c>
      <c r="C9" s="147" t="s">
        <v>21</v>
      </c>
      <c r="D9" s="41">
        <f>'Income Statement'!D13/'Income Statement'!C13-1</f>
        <v>-0.5</v>
      </c>
      <c r="E9" s="41">
        <f>'Income Statement'!E13/'Income Statement'!D13-1</f>
        <v>2.103571428571227E-2</v>
      </c>
      <c r="F9" s="41">
        <f>'Income Statement'!F13/'Income Statement'!E13-1</f>
        <v>-3.2000000000000126</v>
      </c>
      <c r="G9" s="41">
        <f>'Income Statement'!G13/'Income Statement'!F13-1</f>
        <v>1.7499999999999929</v>
      </c>
      <c r="H9" s="41">
        <f>'Income Statement'!H13/'Income Statement'!G13-1</f>
        <v>0.75999999999999845</v>
      </c>
      <c r="I9" s="41">
        <f>'Income Statement'!I13/'Income Statement'!H13-1</f>
        <v>0.51249999999999907</v>
      </c>
      <c r="J9" s="138">
        <f>'Income Statement'!J13/'Income Statement'!I13-1</f>
        <v>0.40000000000000124</v>
      </c>
      <c r="K9" s="139"/>
      <c r="L9" s="138">
        <f>AVERAGE(D9:J9)</f>
        <v>-3.6637755102044096E-2</v>
      </c>
      <c r="M9" s="138">
        <f>MEDIAN(D9:J9)</f>
        <v>0.40000000000000124</v>
      </c>
    </row>
    <row r="10" spans="2:13" ht="14.25" customHeight="1" x14ac:dyDescent="0.3">
      <c r="B10" s="151" t="s">
        <v>81</v>
      </c>
      <c r="C10" s="147" t="s">
        <v>21</v>
      </c>
      <c r="D10" s="41">
        <f>'Income Statement'!D16/'Income Statement'!C16-1</f>
        <v>-0.5</v>
      </c>
      <c r="E10" s="41">
        <f>'Income Statement'!E16/'Income Statement'!D16-1</f>
        <v>2.103571428571227E-2</v>
      </c>
      <c r="F10" s="41">
        <f>'Income Statement'!F16/'Income Statement'!E16-1</f>
        <v>-3.2000000000000126</v>
      </c>
      <c r="G10" s="41">
        <f>'Income Statement'!G16/'Income Statement'!F16-1</f>
        <v>1.7499999999999929</v>
      </c>
      <c r="H10" s="41">
        <f>'Income Statement'!H16/'Income Statement'!G16-1</f>
        <v>0.75999999999999845</v>
      </c>
      <c r="I10" s="41">
        <f>'Income Statement'!I16/'Income Statement'!H16-1</f>
        <v>0.51249999999999907</v>
      </c>
      <c r="J10" s="138">
        <f>'Income Statement'!J16/'Income Statement'!I16-1</f>
        <v>0.40000000000000124</v>
      </c>
      <c r="K10" s="139"/>
      <c r="L10" s="138">
        <f>AVERAGE(D10:J10)</f>
        <v>-3.6637755102044096E-2</v>
      </c>
      <c r="M10" s="138">
        <f>MEDIAN(D10:J10)</f>
        <v>0.40000000000000124</v>
      </c>
    </row>
    <row r="11" spans="2:13" ht="14.25" customHeight="1" x14ac:dyDescent="0.3">
      <c r="B11" s="152" t="s">
        <v>82</v>
      </c>
      <c r="C11" s="147" t="s">
        <v>21</v>
      </c>
      <c r="D11" s="42">
        <f>'Income Statement'!D22/'Income Statement'!C22-1</f>
        <v>-7.374100719424459E-2</v>
      </c>
      <c r="E11" s="42">
        <f>'Income Statement'!E22/'Income Statement'!D22-1</f>
        <v>-0.27867029126213627</v>
      </c>
      <c r="F11" s="42">
        <f>'Income Statement'!F22/'Income Statement'!E22-1</f>
        <v>-0.78805743868928346</v>
      </c>
      <c r="G11" s="42">
        <f>'Income Statement'!G22/'Income Statement'!F22-1</f>
        <v>-4.4735309418717542</v>
      </c>
      <c r="H11" s="42">
        <f>'Income Statement'!H22/'Income Statement'!G22-1</f>
        <v>1.5381104086015669</v>
      </c>
      <c r="I11" s="42">
        <f>'Income Statement'!I22/'Income Statement'!H22-1</f>
        <v>0.71923356418433282</v>
      </c>
      <c r="J11" s="42">
        <f>'Income Statement'!J22/'Income Statement'!I22-1</f>
        <v>0.49385171919988702</v>
      </c>
      <c r="K11" s="141"/>
      <c r="L11" s="42">
        <f>AVERAGE(D11:J11)</f>
        <v>-0.40897199814737595</v>
      </c>
      <c r="M11" s="42">
        <f>MEDIAN(D11:J11)</f>
        <v>-7.374100719424459E-2</v>
      </c>
    </row>
    <row r="12" spans="2:13" ht="14.25" customHeight="1" x14ac:dyDescent="0.3">
      <c r="C12" s="149"/>
      <c r="D12" s="41"/>
      <c r="K12" s="139"/>
    </row>
    <row r="13" spans="2:13" ht="14.25" customHeight="1" x14ac:dyDescent="0.3">
      <c r="B13" s="150" t="s">
        <v>83</v>
      </c>
      <c r="C13" s="40">
        <f>'Income Statement'!C10/'Income Statement'!C8</f>
        <v>0.50029319781078962</v>
      </c>
      <c r="D13" s="40">
        <f>'Income Statement'!D10/'Income Statement'!D8</f>
        <v>0.50230858022316272</v>
      </c>
      <c r="E13" s="40">
        <f>'Income Statement'!E10/'Income Statement'!E8</f>
        <v>0.5</v>
      </c>
      <c r="F13" s="40">
        <f>'Income Statement'!F10/'Income Statement'!F8</f>
        <v>0.51</v>
      </c>
      <c r="G13" s="40">
        <f>'Income Statement'!G10/'Income Statement'!G8</f>
        <v>0.52</v>
      </c>
      <c r="H13" s="40">
        <f>'Income Statement'!H10/'Income Statement'!H8</f>
        <v>0.53</v>
      </c>
      <c r="I13" s="40">
        <f>'Income Statement'!I10/'Income Statement'!I8</f>
        <v>0.53999999999999992</v>
      </c>
      <c r="J13" s="40">
        <f>'Income Statement'!J10/'Income Statement'!J8</f>
        <v>0.55000000000000004</v>
      </c>
      <c r="K13" s="140"/>
      <c r="L13" s="40">
        <f>AVERAGE(C13:J13)</f>
        <v>0.51907522225424396</v>
      </c>
      <c r="M13" s="40">
        <f>MEDIAN(C13:J13)</f>
        <v>0.51500000000000001</v>
      </c>
    </row>
    <row r="14" spans="2:13" ht="14.25" customHeight="1" x14ac:dyDescent="0.3">
      <c r="B14" s="151" t="s">
        <v>84</v>
      </c>
      <c r="C14" s="41">
        <f>'Income Statement'!C13/'Income Statement'!C8</f>
        <v>-2.1892103205629398E-2</v>
      </c>
      <c r="D14" s="41">
        <f>'Income Statement'!D13/'Income Statement'!D8</f>
        <v>-1.0773374374759523E-2</v>
      </c>
      <c r="E14" s="41">
        <f>'Income Statement'!E13/'Income Statement'!E8</f>
        <v>-9.9999999999999794E-3</v>
      </c>
      <c r="F14" s="41">
        <f>'Income Statement'!F13/'Income Statement'!F8</f>
        <v>2.0000000000000073E-2</v>
      </c>
      <c r="G14" s="41">
        <f>'Income Statement'!G13/'Income Statement'!G8</f>
        <v>5.0000000000000044E-2</v>
      </c>
      <c r="H14" s="41">
        <f>'Income Statement'!H13/'Income Statement'!H8</f>
        <v>0.08</v>
      </c>
      <c r="I14" s="41">
        <f>'Income Statement'!I13/'Income Statement'!I8</f>
        <v>0.10999999999999993</v>
      </c>
      <c r="J14" s="41">
        <f>'Income Statement'!J13/'Income Statement'!J8</f>
        <v>0.14000000000000004</v>
      </c>
      <c r="K14" s="139"/>
      <c r="L14" s="138">
        <f>AVERAGE(C14:J14)</f>
        <v>4.4666815302451396E-2</v>
      </c>
      <c r="M14" s="138">
        <f>MEDIAN(C14:J14)</f>
        <v>3.5000000000000059E-2</v>
      </c>
    </row>
    <row r="15" spans="2:13" ht="14.25" customHeight="1" x14ac:dyDescent="0.3">
      <c r="B15" s="151" t="s">
        <v>85</v>
      </c>
      <c r="C15" s="41">
        <f>'Income Statement'!C16/'Income Statement'!C8</f>
        <v>-2.1892103205629398E-2</v>
      </c>
      <c r="D15" s="41">
        <f>'Income Statement'!D16/'Income Statement'!D8</f>
        <v>-1.0773374374759523E-2</v>
      </c>
      <c r="E15" s="41">
        <f>'Income Statement'!E16/'Income Statement'!E8</f>
        <v>-9.9999999999999794E-3</v>
      </c>
      <c r="F15" s="41">
        <f>'Income Statement'!F16/'Income Statement'!F8</f>
        <v>2.0000000000000073E-2</v>
      </c>
      <c r="G15" s="41">
        <f>'Income Statement'!G16/'Income Statement'!G8</f>
        <v>5.0000000000000044E-2</v>
      </c>
      <c r="H15" s="41">
        <f>'Income Statement'!H16/'Income Statement'!H8</f>
        <v>0.08</v>
      </c>
      <c r="I15" s="41">
        <f>'Income Statement'!I16/'Income Statement'!I8</f>
        <v>0.10999999999999993</v>
      </c>
      <c r="J15" s="41">
        <f>'Income Statement'!J16/'Income Statement'!J8</f>
        <v>0.14000000000000004</v>
      </c>
      <c r="K15" s="139"/>
      <c r="L15" s="138">
        <f>AVERAGE(C15:J15)</f>
        <v>4.4666815302451396E-2</v>
      </c>
      <c r="M15" s="138">
        <f>MEDIAN(C15:J15)</f>
        <v>3.5000000000000059E-2</v>
      </c>
    </row>
    <row r="16" spans="2:13" ht="14.25" customHeight="1" x14ac:dyDescent="0.3">
      <c r="B16" s="151" t="s">
        <v>86</v>
      </c>
      <c r="C16" s="41">
        <f>'Income Statement'!C19/'Income Statement'!C8</f>
        <v>-5.2189210320562937E-2</v>
      </c>
      <c r="D16" s="41">
        <f>'Income Statement'!D19/'Income Statement'!D8</f>
        <v>-4.9826856483262794E-2</v>
      </c>
      <c r="E16" s="41">
        <f>'Income Statement'!E19/'Income Statement'!E8</f>
        <v>-4.0606177201021353E-2</v>
      </c>
      <c r="F16" s="41">
        <f>'Income Statement'!F19/'Income Statement'!F8</f>
        <v>-7.8237974554738986E-3</v>
      </c>
      <c r="G16" s="41">
        <f>'Income Statement'!G19/'Income Statement'!G8</f>
        <v>2.4705638676841894E-2</v>
      </c>
      <c r="H16" s="41">
        <f>'Income Statement'!H19/'Income Statement'!H8</f>
        <v>5.7005126069856228E-2</v>
      </c>
      <c r="I16" s="41">
        <f>'Income Statement'!I19/'Income Statement'!I8</f>
        <v>8.9095569154414675E-2</v>
      </c>
      <c r="J16" s="41">
        <f>'Income Statement'!J19/'Income Statement'!J8</f>
        <v>0.12099597195855889</v>
      </c>
      <c r="K16" s="139"/>
      <c r="L16" s="138">
        <f>AVERAGE(C16:J16)</f>
        <v>1.7669533049918838E-2</v>
      </c>
      <c r="M16" s="138">
        <f>MEDIAN(C16:J16)</f>
        <v>8.4409206106839975E-3</v>
      </c>
    </row>
    <row r="17" spans="2:13" ht="14.25" customHeight="1" x14ac:dyDescent="0.3">
      <c r="B17" s="152" t="s">
        <v>87</v>
      </c>
      <c r="C17" s="42">
        <f>'Income Statement'!C22/'Income Statement'!C8</f>
        <v>-5.4339327599687258E-2</v>
      </c>
      <c r="D17" s="42">
        <f>'Income Statement'!D22/'Income Statement'!D8</f>
        <v>-4.9538283955367447E-2</v>
      </c>
      <c r="E17" s="42">
        <f>'Income Statement'!E22/'Income Statement'!E8</f>
        <v>-3.2484941760817079E-2</v>
      </c>
      <c r="F17" s="42">
        <f>'Income Statement'!F22/'Income Statement'!F8</f>
        <v>-6.2590379643791194E-3</v>
      </c>
      <c r="G17" s="42">
        <f>'Income Statement'!G22/'Income Statement'!G8</f>
        <v>1.9764510941473516E-2</v>
      </c>
      <c r="H17" s="42">
        <f>'Income Statement'!H22/'Income Statement'!H8</f>
        <v>4.5604100855884983E-2</v>
      </c>
      <c r="I17" s="42">
        <f>'Income Statement'!I22/'Income Statement'!I8</f>
        <v>7.1276455323531746E-2</v>
      </c>
      <c r="J17" s="42">
        <f>'Income Statement'!J22/'Income Statement'!J8</f>
        <v>9.6796777566847111E-2</v>
      </c>
      <c r="K17" s="141"/>
      <c r="L17" s="42">
        <f>AVERAGE(C17:J17)</f>
        <v>1.1352531675935808E-2</v>
      </c>
      <c r="M17" s="42">
        <f>MEDIAN(C17:J17)</f>
        <v>6.7527364885471989E-3</v>
      </c>
    </row>
    <row r="18" spans="2:13" ht="14.25" customHeight="1" x14ac:dyDescent="0.3">
      <c r="C18" s="41"/>
      <c r="D18" s="41"/>
      <c r="K18" s="139"/>
    </row>
    <row r="19" spans="2:13" ht="14.25" customHeight="1" x14ac:dyDescent="0.3">
      <c r="B19" s="150" t="s">
        <v>88</v>
      </c>
      <c r="C19" s="40">
        <f>'Income Statement'!C12/'Income Statement'!C8</f>
        <v>0.52218530101641902</v>
      </c>
      <c r="D19" s="40">
        <f>'Income Statement'!D12/'Income Statement'!D8</f>
        <v>0.51308195459792227</v>
      </c>
      <c r="E19" s="40">
        <f>'Income Statement'!E12/'Income Statement'!E8</f>
        <v>0.51</v>
      </c>
      <c r="F19" s="40">
        <f>'Income Statement'!F12/'Income Statement'!F8</f>
        <v>0.49</v>
      </c>
      <c r="G19" s="40">
        <f>'Income Statement'!G12/'Income Statement'!G8</f>
        <v>0.47</v>
      </c>
      <c r="H19" s="40">
        <f>'Income Statement'!H12/'Income Statement'!H8</f>
        <v>0.45</v>
      </c>
      <c r="I19" s="40">
        <f>'Income Statement'!I12/'Income Statement'!I8</f>
        <v>0.43</v>
      </c>
      <c r="J19" s="40">
        <f>'Income Statement'!J12/'Income Statement'!J8</f>
        <v>0.41</v>
      </c>
      <c r="K19" s="140"/>
      <c r="L19" s="40">
        <f>AVERAGE(C19:J19)</f>
        <v>0.4744084069517927</v>
      </c>
      <c r="M19" s="40">
        <f>MEDIAN(C19:J19)</f>
        <v>0.48</v>
      </c>
    </row>
    <row r="20" spans="2:13" ht="14.25" customHeight="1" x14ac:dyDescent="0.3">
      <c r="B20" s="151" t="s">
        <v>89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139"/>
      <c r="L20" s="138">
        <f>AVERAGE(C20:J20)</f>
        <v>0</v>
      </c>
      <c r="M20" s="138">
        <f>MEDIAN(C20:J20)</f>
        <v>0</v>
      </c>
    </row>
    <row r="21" spans="2:13" ht="14.25" customHeight="1" x14ac:dyDescent="0.3">
      <c r="B21" s="152" t="s">
        <v>90</v>
      </c>
      <c r="C21" s="42">
        <f t="shared" ref="C21:J21" si="0">C15</f>
        <v>-2.1892103205629398E-2</v>
      </c>
      <c r="D21" s="42">
        <f t="shared" si="0"/>
        <v>-1.0773374374759523E-2</v>
      </c>
      <c r="E21" s="42">
        <f t="shared" si="0"/>
        <v>-9.9999999999999794E-3</v>
      </c>
      <c r="F21" s="42">
        <f t="shared" si="0"/>
        <v>2.0000000000000073E-2</v>
      </c>
      <c r="G21" s="42">
        <f t="shared" si="0"/>
        <v>5.0000000000000044E-2</v>
      </c>
      <c r="H21" s="42">
        <f t="shared" si="0"/>
        <v>0.08</v>
      </c>
      <c r="I21" s="42">
        <f t="shared" si="0"/>
        <v>0.10999999999999993</v>
      </c>
      <c r="J21" s="42">
        <f t="shared" si="0"/>
        <v>0.14000000000000004</v>
      </c>
      <c r="K21" s="141"/>
      <c r="L21" s="42">
        <f>AVERAGE(C21:J21)</f>
        <v>4.4666815302451396E-2</v>
      </c>
      <c r="M21" s="42">
        <f>MEDIAN(C21:J21)</f>
        <v>3.5000000000000059E-2</v>
      </c>
    </row>
    <row r="22" spans="2:13" ht="14.25" customHeight="1" x14ac:dyDescent="0.3">
      <c r="C22" s="41"/>
      <c r="D22" s="41"/>
      <c r="K22" s="139"/>
    </row>
    <row r="23" spans="2:13" ht="14.25" customHeight="1" x14ac:dyDescent="0.3">
      <c r="B23" s="150" t="s">
        <v>91</v>
      </c>
      <c r="C23" s="40">
        <f>'Income Statement'!C16/SUM('Balance sheet'!C50:C52)</f>
        <v>-4.7751012577275632E-2</v>
      </c>
      <c r="D23" s="40">
        <f>'Income Statement'!D16/SUM('Balance sheet'!D50:D52)</f>
        <v>-1.9197805965032566E-2</v>
      </c>
      <c r="E23" s="144" t="s">
        <v>21</v>
      </c>
      <c r="F23" s="144" t="s">
        <v>21</v>
      </c>
      <c r="G23" s="144" t="s">
        <v>21</v>
      </c>
      <c r="H23" s="144" t="s">
        <v>21</v>
      </c>
      <c r="I23" s="144" t="s">
        <v>21</v>
      </c>
      <c r="J23" s="144" t="s">
        <v>21</v>
      </c>
      <c r="K23" s="140"/>
      <c r="L23" s="40">
        <f>AVERAGE(C23:D23)</f>
        <v>-3.3474409271154096E-2</v>
      </c>
      <c r="M23" s="40">
        <f>MEDIAN(C23:D23)</f>
        <v>-3.3474409271154096E-2</v>
      </c>
    </row>
    <row r="24" spans="2:13" ht="14.25" customHeight="1" x14ac:dyDescent="0.3">
      <c r="B24" s="151" t="s">
        <v>92</v>
      </c>
      <c r="C24" s="41">
        <f>'Income Statement'!C22/SUM('Balance sheet'!C50:C52)</f>
        <v>-0.11852483479002345</v>
      </c>
      <c r="D24" s="41">
        <f>'Income Statement'!D22/SUM('Balance sheet'!D50:D52)</f>
        <v>-8.8275625642783684E-2</v>
      </c>
      <c r="E24" s="145" t="s">
        <v>21</v>
      </c>
      <c r="F24" s="145" t="s">
        <v>21</v>
      </c>
      <c r="G24" s="145" t="s">
        <v>21</v>
      </c>
      <c r="H24" s="145" t="s">
        <v>21</v>
      </c>
      <c r="I24" s="145" t="s">
        <v>21</v>
      </c>
      <c r="J24" s="145" t="s">
        <v>21</v>
      </c>
      <c r="K24" s="139"/>
      <c r="L24" s="138">
        <f>AVERAGE(C24:D24)</f>
        <v>-0.10340023021640357</v>
      </c>
      <c r="M24" s="138">
        <f>MEDIAN(C24:D24)</f>
        <v>-0.10340023021640357</v>
      </c>
    </row>
    <row r="25" spans="2:13" ht="14.25" customHeight="1" x14ac:dyDescent="0.3">
      <c r="B25" s="152" t="s">
        <v>93</v>
      </c>
      <c r="C25" s="43">
        <f>'Income Statement'!C16/'Income Statement'!C17</f>
        <v>-0.72258064516129028</v>
      </c>
      <c r="D25" s="43">
        <f>'Income Statement'!D16/'Income Statement'!D17</f>
        <v>-0.27586206896551724</v>
      </c>
      <c r="E25" s="43">
        <f>'Income Statement'!E16/'Income Statement'!E17</f>
        <v>-0.3267314285714279</v>
      </c>
      <c r="F25" s="43">
        <f>'Income Statement'!F16/'Income Statement'!F17</f>
        <v>0.71880914285714559</v>
      </c>
      <c r="G25" s="43">
        <f>'Income Statement'!G16/'Income Statement'!G17</f>
        <v>1.9767251428571451</v>
      </c>
      <c r="H25" s="43">
        <f>'Income Statement'!H16/'Income Statement'!H17</f>
        <v>3.4790362514285724</v>
      </c>
      <c r="I25" s="43">
        <f>'Income Statement'!I16/'Income Statement'!I17</f>
        <v>5.2620423302857127</v>
      </c>
      <c r="J25" s="43">
        <f>'Income Statement'!J16/'Income Statement'!J17</f>
        <v>7.3668592624000047</v>
      </c>
      <c r="K25" s="141"/>
      <c r="L25" s="43">
        <f>AVERAGE(C25:J25)</f>
        <v>2.1847872483912933</v>
      </c>
      <c r="M25" s="43">
        <f>MEDIAN(C25:J25)</f>
        <v>1.3477671428571454</v>
      </c>
    </row>
    <row r="26" spans="2:13" ht="14.25" customHeight="1" x14ac:dyDescent="0.3">
      <c r="C26" s="41"/>
      <c r="D26" s="41"/>
      <c r="K26" s="139"/>
    </row>
    <row r="27" spans="2:13" ht="14.25" customHeight="1" x14ac:dyDescent="0.3">
      <c r="B27" s="150" t="s">
        <v>94</v>
      </c>
      <c r="C27" s="45">
        <f>'Income Statement'!C8/'Balance sheet'!C25</f>
        <v>2.9018718094157685</v>
      </c>
      <c r="D27" s="45">
        <f>'Income Statement'!D8/'Balance sheet'!D25</f>
        <v>2.2218422739901689</v>
      </c>
      <c r="E27" s="146" t="s">
        <v>21</v>
      </c>
      <c r="F27" s="146" t="s">
        <v>21</v>
      </c>
      <c r="G27" s="146" t="s">
        <v>21</v>
      </c>
      <c r="H27" s="146" t="s">
        <v>21</v>
      </c>
      <c r="I27" s="146" t="s">
        <v>21</v>
      </c>
      <c r="J27" s="146" t="s">
        <v>21</v>
      </c>
      <c r="K27" s="140"/>
      <c r="L27" s="45">
        <f>AVERAGE(C27:D27)</f>
        <v>2.5618570417029689</v>
      </c>
      <c r="M27" s="45">
        <f>MEDIAN(C27:D27)</f>
        <v>2.5618570417029689</v>
      </c>
    </row>
    <row r="28" spans="2:13" ht="14.25" customHeight="1" x14ac:dyDescent="0.3">
      <c r="B28" s="151" t="s">
        <v>95</v>
      </c>
      <c r="C28" s="44">
        <f>'Income Statement'!C9/'Balance sheet'!C35</f>
        <v>0.41187369099403898</v>
      </c>
      <c r="D28" s="44">
        <f>'Income Statement'!D9/'Balance sheet'!D35</f>
        <v>0.42357756856324191</v>
      </c>
      <c r="E28" s="147" t="s">
        <v>21</v>
      </c>
      <c r="F28" s="147" t="s">
        <v>21</v>
      </c>
      <c r="G28" s="147" t="s">
        <v>21</v>
      </c>
      <c r="H28" s="147" t="s">
        <v>21</v>
      </c>
      <c r="I28" s="147" t="s">
        <v>21</v>
      </c>
      <c r="J28" s="147" t="s">
        <v>21</v>
      </c>
      <c r="K28" s="139"/>
      <c r="L28" s="142">
        <f>AVERAGE(C28:D28)</f>
        <v>0.41772562977864047</v>
      </c>
      <c r="M28" s="142">
        <f>MEDIAN(C28:D28)</f>
        <v>0.41772562977864047</v>
      </c>
    </row>
    <row r="29" spans="2:13" ht="14.25" customHeight="1" x14ac:dyDescent="0.3">
      <c r="B29" s="151" t="s">
        <v>96</v>
      </c>
      <c r="C29" s="44">
        <f>'Income Statement'!C9/'Balance sheet'!C24</f>
        <v>3.1738050900062071</v>
      </c>
      <c r="D29" s="44">
        <f>'Income Statement'!D9/'Balance sheet'!D24</f>
        <v>3.5173351461590756</v>
      </c>
      <c r="E29" s="147" t="s">
        <v>21</v>
      </c>
      <c r="F29" s="147" t="s">
        <v>21</v>
      </c>
      <c r="G29" s="147" t="s">
        <v>21</v>
      </c>
      <c r="H29" s="147" t="s">
        <v>21</v>
      </c>
      <c r="I29" s="147" t="s">
        <v>21</v>
      </c>
      <c r="J29" s="147" t="s">
        <v>21</v>
      </c>
      <c r="K29" s="139"/>
      <c r="L29" s="142">
        <f>AVERAGE(C29:D29)</f>
        <v>3.3455701180826414</v>
      </c>
      <c r="M29" s="142">
        <f>MEDIAN(C29:D29)</f>
        <v>3.3455701180826414</v>
      </c>
    </row>
    <row r="30" spans="2:13" ht="14.25" customHeight="1" x14ac:dyDescent="0.3">
      <c r="B30" s="151" t="s">
        <v>97</v>
      </c>
      <c r="C30" s="44">
        <f>'Income Statement'!C8/'Balance sheet'!C10</f>
        <v>12.79</v>
      </c>
      <c r="D30" s="44">
        <f>'Income Statement'!D8/'Balance sheet'!D10</f>
        <v>13.448900388098318</v>
      </c>
      <c r="E30" s="147" t="s">
        <v>21</v>
      </c>
      <c r="F30" s="147" t="s">
        <v>21</v>
      </c>
      <c r="G30" s="147" t="s">
        <v>21</v>
      </c>
      <c r="H30" s="147" t="s">
        <v>21</v>
      </c>
      <c r="I30" s="147" t="s">
        <v>21</v>
      </c>
      <c r="J30" s="147" t="s">
        <v>21</v>
      </c>
      <c r="K30" s="139"/>
      <c r="L30" s="142">
        <f>AVERAGE(C30:D30)</f>
        <v>13.119450194049158</v>
      </c>
      <c r="M30" s="142">
        <f>MEDIAN(C30:D30)</f>
        <v>13.119450194049158</v>
      </c>
    </row>
    <row r="31" spans="2:13" ht="14.25" customHeight="1" x14ac:dyDescent="0.3">
      <c r="B31" s="152" t="s">
        <v>98</v>
      </c>
      <c r="C31" s="43">
        <f>'Income Statement'!C8/SUM('Balance sheet'!C32-'Balance sheet'!C40)</f>
        <v>1.1277416510525735</v>
      </c>
      <c r="D31" s="43">
        <f>'Income Statement'!D8/SUM('Balance sheet'!D32-'Balance sheet'!D40)</f>
        <v>1.4175074993182437</v>
      </c>
      <c r="E31" s="148" t="s">
        <v>21</v>
      </c>
      <c r="F31" s="148" t="s">
        <v>21</v>
      </c>
      <c r="G31" s="148" t="s">
        <v>21</v>
      </c>
      <c r="H31" s="148" t="s">
        <v>21</v>
      </c>
      <c r="I31" s="148" t="s">
        <v>21</v>
      </c>
      <c r="J31" s="148" t="s">
        <v>21</v>
      </c>
      <c r="K31" s="141"/>
      <c r="L31" s="43">
        <f>AVERAGE(C31:D31)</f>
        <v>1.2726245751854086</v>
      </c>
      <c r="M31" s="43">
        <f>MEDIAN(C31:D31)</f>
        <v>1.2726245751854086</v>
      </c>
    </row>
    <row r="32" spans="2:13" ht="14.25" customHeight="1" x14ac:dyDescent="0.3">
      <c r="C32" s="41"/>
      <c r="D32" s="41"/>
      <c r="K32" s="139"/>
    </row>
    <row r="33" spans="2:13" ht="14.25" customHeight="1" x14ac:dyDescent="0.3">
      <c r="B33" s="150" t="s">
        <v>99</v>
      </c>
      <c r="C33" s="46">
        <f t="shared" ref="C33:D35" si="1">365/C27</f>
        <v>125.78088350273651</v>
      </c>
      <c r="D33" s="46">
        <f t="shared" si="1"/>
        <v>164.27808772604848</v>
      </c>
      <c r="E33" s="146" t="s">
        <v>21</v>
      </c>
      <c r="F33" s="146" t="s">
        <v>21</v>
      </c>
      <c r="G33" s="146" t="s">
        <v>21</v>
      </c>
      <c r="H33" s="146" t="s">
        <v>21</v>
      </c>
      <c r="I33" s="146" t="s">
        <v>21</v>
      </c>
      <c r="J33" s="146" t="s">
        <v>21</v>
      </c>
      <c r="K33" s="140"/>
      <c r="L33" s="46">
        <f>AVERAGE(C33:D33)</f>
        <v>145.02948561439251</v>
      </c>
      <c r="M33" s="46">
        <f>MEDIAN(C33:D33)</f>
        <v>145.02948561439251</v>
      </c>
    </row>
    <row r="34" spans="2:13" ht="14.25" customHeight="1" x14ac:dyDescent="0.3">
      <c r="B34" s="151" t="s">
        <v>100</v>
      </c>
      <c r="C34" s="47">
        <f t="shared" si="1"/>
        <v>886.19401525523176</v>
      </c>
      <c r="D34" s="47">
        <f t="shared" si="1"/>
        <v>861.70757634325469</v>
      </c>
      <c r="E34" s="147" t="s">
        <v>21</v>
      </c>
      <c r="F34" s="147" t="s">
        <v>21</v>
      </c>
      <c r="G34" s="147" t="s">
        <v>21</v>
      </c>
      <c r="H34" s="147" t="s">
        <v>21</v>
      </c>
      <c r="I34" s="147" t="s">
        <v>21</v>
      </c>
      <c r="J34" s="147" t="s">
        <v>21</v>
      </c>
      <c r="K34" s="139"/>
      <c r="L34" s="143">
        <f>AVERAGE(C34:D34)</f>
        <v>873.95079579924322</v>
      </c>
      <c r="M34" s="143">
        <f>MEDIAN(C34:D34)</f>
        <v>873.95079579924322</v>
      </c>
    </row>
    <row r="35" spans="2:13" ht="14.25" customHeight="1" x14ac:dyDescent="0.3">
      <c r="B35" s="152" t="s">
        <v>101</v>
      </c>
      <c r="C35" s="48">
        <f t="shared" si="1"/>
        <v>115.00391159788775</v>
      </c>
      <c r="D35" s="48">
        <f t="shared" si="1"/>
        <v>103.77174333204484</v>
      </c>
      <c r="E35" s="148" t="s">
        <v>21</v>
      </c>
      <c r="F35" s="148" t="s">
        <v>21</v>
      </c>
      <c r="G35" s="148" t="s">
        <v>21</v>
      </c>
      <c r="H35" s="148" t="s">
        <v>21</v>
      </c>
      <c r="I35" s="148" t="s">
        <v>21</v>
      </c>
      <c r="J35" s="148" t="s">
        <v>21</v>
      </c>
      <c r="K35" s="141"/>
      <c r="L35" s="48">
        <f>AVERAGE(C35:D35)</f>
        <v>109.38782746496629</v>
      </c>
      <c r="M35" s="48">
        <f>MEDIAN(C35:D35)</f>
        <v>109.38782746496629</v>
      </c>
    </row>
    <row r="36" spans="2:13" ht="14.25" customHeight="1" x14ac:dyDescent="0.3">
      <c r="C36" s="41"/>
      <c r="D36" s="41"/>
    </row>
    <row r="37" spans="2:13" ht="14.25" customHeight="1" x14ac:dyDescent="0.3">
      <c r="C37" s="41"/>
      <c r="D37" s="41"/>
    </row>
    <row r="38" spans="2:13" ht="14.25" customHeight="1" x14ac:dyDescent="0.3">
      <c r="C38" s="41"/>
      <c r="D38" s="41"/>
    </row>
    <row r="39" spans="2:13" ht="14.25" customHeight="1" x14ac:dyDescent="0.3">
      <c r="C39" s="41"/>
      <c r="D39" s="41"/>
    </row>
  </sheetData>
  <mergeCells count="1">
    <mergeCell ref="E5:J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Analysis'!D8:J8</xm:f>
              <xm:sqref>K8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Analysis'!D9:J9</xm:f>
              <xm:sqref>K9</xm:sqref>
            </x14:sparkline>
            <x14:sparkline>
              <xm:f>'Ratio Analysis'!D10:J10</xm:f>
              <xm:sqref>K10</xm:sqref>
            </x14:sparkline>
            <x14:sparkline>
              <xm:f>'Ratio Analysis'!D11:J11</xm:f>
              <xm:sqref>K11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Analysis'!C13:J13</xm:f>
              <xm:sqref>K13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Analysis'!C14:J14</xm:f>
              <xm:sqref>K14</xm:sqref>
            </x14:sparkline>
            <x14:sparkline>
              <xm:f>'Ratio Analysis'!C15:J15</xm:f>
              <xm:sqref>K15</xm:sqref>
            </x14:sparkline>
            <x14:sparkline>
              <xm:f>'Ratio Analysis'!C16:J16</xm:f>
              <xm:sqref>K16</xm:sqref>
            </x14:sparkline>
            <x14:sparkline>
              <xm:f>'Ratio Analysis'!C17:J17</xm:f>
              <xm:sqref>K17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Analysis'!C19:J19</xm:f>
              <xm:sqref>K19</xm:sqref>
            </x14:sparkline>
            <x14:sparkline>
              <xm:f>'Ratio Analysis'!C20:J20</xm:f>
              <xm:sqref>K20</xm:sqref>
            </x14:sparkline>
            <x14:sparkline>
              <xm:f>'Ratio Analysis'!C21:J21</xm:f>
              <xm:sqref>K21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Analysis'!C25:J25</xm:f>
              <xm:sqref>K25</xm:sqref>
            </x14:sparkline>
          </x14:sparklines>
        </x14:sparklineGroup>
        <x14:sparklineGroup displayEmptyCellsAs="gap" markers="1" negative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Analysis'!C23:D23</xm:f>
              <xm:sqref>K23</xm:sqref>
            </x14:sparkline>
          </x14:sparklines>
        </x14:sparklineGroup>
        <x14:sparklineGroup displayEmptyCellsAs="gap" markers="1" negative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Analysis'!C24:D24</xm:f>
              <xm:sqref>K24</xm:sqref>
            </x14:sparkline>
          </x14:sparklines>
        </x14:sparklineGroup>
        <x14:sparklineGroup displayEmptyCellsAs="gap" markers="1" negative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Analysis'!C27:D27</xm:f>
              <xm:sqref>K27</xm:sqref>
            </x14:sparkline>
            <x14:sparkline>
              <xm:f>'Ratio Analysis'!C28:D28</xm:f>
              <xm:sqref>K28</xm:sqref>
            </x14:sparkline>
            <x14:sparkline>
              <xm:f>'Ratio Analysis'!C29:D29</xm:f>
              <xm:sqref>K29</xm:sqref>
            </x14:sparkline>
            <x14:sparkline>
              <xm:f>'Ratio Analysis'!C30:D30</xm:f>
              <xm:sqref>K30</xm:sqref>
            </x14:sparkline>
            <x14:sparkline>
              <xm:f>'Ratio Analysis'!C31:D31</xm:f>
              <xm:sqref>K31</xm:sqref>
            </x14:sparkline>
          </x14:sparklines>
        </x14:sparklineGroup>
        <x14:sparklineGroup displayEmptyCellsAs="gap" markers="1" negative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Analysis'!C33:D33</xm:f>
              <xm:sqref>K33</xm:sqref>
            </x14:sparkline>
            <x14:sparkline>
              <xm:f>'Ratio Analysis'!C34:D34</xm:f>
              <xm:sqref>K34</xm:sqref>
            </x14:sparkline>
            <x14:sparkline>
              <xm:f>'Ratio Analysis'!C35:D35</xm:f>
              <xm:sqref>K35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2"/>
  <sheetViews>
    <sheetView showGridLines="0" topLeftCell="A24" zoomScaleNormal="100" workbookViewId="0">
      <selection activeCell="D43" sqref="D43"/>
    </sheetView>
  </sheetViews>
  <sheetFormatPr defaultColWidth="8.6640625" defaultRowHeight="14.4" x14ac:dyDescent="0.3"/>
  <cols>
    <col min="1" max="1" width="2" style="1" customWidth="1"/>
    <col min="2" max="2" width="12.88671875" style="1" customWidth="1"/>
    <col min="3" max="3" width="12.77734375" style="1" customWidth="1"/>
    <col min="4" max="4" width="10.88671875" style="1" customWidth="1"/>
    <col min="5" max="5" width="11.88671875" style="1" customWidth="1"/>
    <col min="13" max="14" width="12.77734375" style="1" customWidth="1"/>
    <col min="15" max="15" width="2.44140625" style="1" customWidth="1"/>
    <col min="16" max="20" width="12.77734375" style="1" customWidth="1"/>
    <col min="21" max="21" width="2.109375" style="1" customWidth="1"/>
  </cols>
  <sheetData>
    <row r="2" spans="2:19" ht="21" customHeight="1" x14ac:dyDescent="0.5">
      <c r="B2" s="3" t="s">
        <v>0</v>
      </c>
    </row>
    <row r="3" spans="2:19" ht="15" customHeight="1" x14ac:dyDescent="0.3">
      <c r="B3" s="49" t="s">
        <v>102</v>
      </c>
    </row>
    <row r="5" spans="2:19" ht="14.25" customHeight="1" x14ac:dyDescent="0.3">
      <c r="B5" s="161" t="s">
        <v>103</v>
      </c>
      <c r="C5" s="161"/>
      <c r="D5" s="161"/>
      <c r="E5" s="161"/>
      <c r="P5" s="50" t="s">
        <v>104</v>
      </c>
      <c r="Q5" s="51" t="s">
        <v>105</v>
      </c>
      <c r="R5" s="51" t="s">
        <v>18</v>
      </c>
      <c r="S5" s="52" t="s">
        <v>26</v>
      </c>
    </row>
    <row r="6" spans="2:19" ht="14.25" customHeight="1" x14ac:dyDescent="0.3">
      <c r="B6" s="50" t="s">
        <v>104</v>
      </c>
      <c r="C6" s="51" t="s">
        <v>105</v>
      </c>
      <c r="D6" s="51" t="s">
        <v>14</v>
      </c>
      <c r="E6" s="52" t="s">
        <v>106</v>
      </c>
      <c r="P6" s="53">
        <v>1</v>
      </c>
      <c r="Q6" s="54" t="s">
        <v>6</v>
      </c>
      <c r="R6" s="55">
        <f>'Income Statement'!C13</f>
        <v>-224</v>
      </c>
      <c r="S6" s="56">
        <f>'Income Statement'!C22</f>
        <v>-556</v>
      </c>
    </row>
    <row r="7" spans="2:19" ht="14.25" customHeight="1" x14ac:dyDescent="0.3">
      <c r="B7" s="53">
        <v>1</v>
      </c>
      <c r="C7" s="54" t="s">
        <v>6</v>
      </c>
      <c r="D7" s="57">
        <f>'Income Statement'!C8</f>
        <v>10232</v>
      </c>
      <c r="E7" s="58"/>
      <c r="P7" s="53">
        <f t="shared" ref="P7:P13" si="0">P6+1</f>
        <v>2</v>
      </c>
      <c r="Q7" s="54" t="s">
        <v>7</v>
      </c>
      <c r="R7" s="55">
        <f>'Income Statement'!D13</f>
        <v>-112</v>
      </c>
      <c r="S7" s="56">
        <f>'Income Statement'!D22</f>
        <v>-515</v>
      </c>
    </row>
    <row r="8" spans="2:19" ht="14.25" customHeight="1" x14ac:dyDescent="0.3">
      <c r="B8" s="53">
        <f t="shared" ref="B8:B14" si="1">B7+1</f>
        <v>2</v>
      </c>
      <c r="C8" s="54" t="s">
        <v>7</v>
      </c>
      <c r="D8" s="57">
        <f>'Income Statement'!D8</f>
        <v>10396</v>
      </c>
      <c r="E8" s="59">
        <f t="shared" ref="E8:E14" si="2">D8/D7-1</f>
        <v>1.602814698983579E-2</v>
      </c>
      <c r="P8" s="53">
        <f t="shared" si="0"/>
        <v>3</v>
      </c>
      <c r="Q8" s="60" t="s">
        <v>8</v>
      </c>
      <c r="R8" s="55">
        <f>'Income Statement'!E13</f>
        <v>-114.35599999999977</v>
      </c>
      <c r="S8" s="56">
        <f>'Income Statement'!E22</f>
        <v>-371.48479999999984</v>
      </c>
    </row>
    <row r="9" spans="2:19" ht="14.25" customHeight="1" x14ac:dyDescent="0.3">
      <c r="B9" s="53">
        <f t="shared" si="1"/>
        <v>3</v>
      </c>
      <c r="C9" s="60" t="s">
        <v>8</v>
      </c>
      <c r="D9" s="57">
        <f>'Income Statement'!E8</f>
        <v>11435.6</v>
      </c>
      <c r="E9" s="59">
        <f t="shared" si="2"/>
        <v>0.10000000000000009</v>
      </c>
      <c r="P9" s="53">
        <f t="shared" si="0"/>
        <v>4</v>
      </c>
      <c r="Q9" s="60" t="s">
        <v>9</v>
      </c>
      <c r="R9" s="61">
        <f>'Income Statement'!F13</f>
        <v>251.58320000000094</v>
      </c>
      <c r="S9" s="56">
        <f>'Income Statement'!F22</f>
        <v>-78.733439999999248</v>
      </c>
    </row>
    <row r="10" spans="2:19" ht="14.25" customHeight="1" x14ac:dyDescent="0.3">
      <c r="B10" s="53">
        <f t="shared" si="1"/>
        <v>4</v>
      </c>
      <c r="C10" s="60" t="s">
        <v>9</v>
      </c>
      <c r="D10" s="57">
        <f>'Income Statement'!F8</f>
        <v>12579.160000000002</v>
      </c>
      <c r="E10" s="59">
        <f t="shared" si="2"/>
        <v>0.10000000000000009</v>
      </c>
      <c r="P10" s="53">
        <f t="shared" si="0"/>
        <v>5</v>
      </c>
      <c r="Q10" s="60" t="s">
        <v>10</v>
      </c>
      <c r="R10" s="61">
        <f>'Income Statement'!G13</f>
        <v>691.85380000000077</v>
      </c>
      <c r="S10" s="62">
        <f>'Income Statement'!G22</f>
        <v>273.48304000000064</v>
      </c>
    </row>
    <row r="11" spans="2:19" ht="14.25" customHeight="1" x14ac:dyDescent="0.3">
      <c r="B11" s="53">
        <f t="shared" si="1"/>
        <v>5</v>
      </c>
      <c r="C11" s="60" t="s">
        <v>10</v>
      </c>
      <c r="D11" s="57">
        <f>'Income Statement'!G8</f>
        <v>13837.076000000003</v>
      </c>
      <c r="E11" s="59">
        <f t="shared" si="2"/>
        <v>0.10000000000000009</v>
      </c>
      <c r="P11" s="53">
        <f t="shared" si="0"/>
        <v>6</v>
      </c>
      <c r="Q11" s="60" t="s">
        <v>11</v>
      </c>
      <c r="R11" s="61">
        <f>'Income Statement'!H13</f>
        <v>1217.6626880000003</v>
      </c>
      <c r="S11" s="62">
        <f>'Income Statement'!H22</f>
        <v>694.13015040000028</v>
      </c>
    </row>
    <row r="12" spans="2:19" ht="14.25" customHeight="1" x14ac:dyDescent="0.3">
      <c r="B12" s="53">
        <f t="shared" si="1"/>
        <v>6</v>
      </c>
      <c r="C12" s="60" t="s">
        <v>11</v>
      </c>
      <c r="D12" s="57">
        <f>'Income Statement'!H8</f>
        <v>15220.783600000004</v>
      </c>
      <c r="E12" s="59">
        <f t="shared" si="2"/>
        <v>0.10000000000000009</v>
      </c>
      <c r="P12" s="53">
        <f t="shared" si="0"/>
        <v>7</v>
      </c>
      <c r="Q12" s="60" t="s">
        <v>12</v>
      </c>
      <c r="R12" s="61">
        <f>'Income Statement'!I13</f>
        <v>1841.7148155999994</v>
      </c>
      <c r="S12" s="62">
        <f>'Income Statement'!I22</f>
        <v>1193.3718524799995</v>
      </c>
    </row>
    <row r="13" spans="2:19" ht="14.25" customHeight="1" x14ac:dyDescent="0.3">
      <c r="B13" s="53">
        <f t="shared" si="1"/>
        <v>7</v>
      </c>
      <c r="C13" s="60" t="s">
        <v>12</v>
      </c>
      <c r="D13" s="57">
        <f>'Income Statement'!I8</f>
        <v>16742.861960000006</v>
      </c>
      <c r="E13" s="59">
        <f t="shared" si="2"/>
        <v>0.10000000000000009</v>
      </c>
      <c r="P13" s="63">
        <f t="shared" si="0"/>
        <v>8</v>
      </c>
      <c r="Q13" s="64" t="s">
        <v>13</v>
      </c>
      <c r="R13" s="65">
        <f>'Income Statement'!J13</f>
        <v>2578.4007418400015</v>
      </c>
      <c r="S13" s="66">
        <f>'Income Statement'!J22</f>
        <v>1782.7205934720012</v>
      </c>
    </row>
    <row r="14" spans="2:19" ht="14.25" customHeight="1" x14ac:dyDescent="0.3">
      <c r="B14" s="63">
        <f t="shared" si="1"/>
        <v>8</v>
      </c>
      <c r="C14" s="64" t="s">
        <v>13</v>
      </c>
      <c r="D14" s="67">
        <f>'Income Statement'!J8</f>
        <v>18417.148156000007</v>
      </c>
      <c r="E14" s="68">
        <f t="shared" si="2"/>
        <v>0.10000000000000009</v>
      </c>
    </row>
    <row r="15" spans="2:19" ht="14.25" customHeight="1" x14ac:dyDescent="0.3">
      <c r="B15" s="69"/>
      <c r="C15" s="69"/>
      <c r="D15" s="70"/>
      <c r="E15" s="71"/>
    </row>
    <row r="16" spans="2:19" ht="14.25" customHeight="1" x14ac:dyDescent="0.3">
      <c r="B16" s="72"/>
      <c r="C16" s="72"/>
      <c r="D16" s="73"/>
      <c r="E16" s="41"/>
    </row>
    <row r="17" spans="2:20" ht="14.25" customHeight="1" x14ac:dyDescent="0.3">
      <c r="B17" s="72"/>
      <c r="C17" s="74"/>
      <c r="D17" s="73"/>
      <c r="E17" s="41"/>
    </row>
    <row r="18" spans="2:20" ht="14.25" customHeight="1" x14ac:dyDescent="0.3">
      <c r="B18" s="72"/>
      <c r="C18" s="74"/>
      <c r="D18" s="73"/>
      <c r="E18" s="41"/>
    </row>
    <row r="19" spans="2:20" ht="14.25" customHeight="1" x14ac:dyDescent="0.3">
      <c r="B19" s="72"/>
      <c r="C19" s="74"/>
      <c r="D19" s="73"/>
      <c r="E19" s="41"/>
    </row>
    <row r="20" spans="2:20" ht="14.25" customHeight="1" x14ac:dyDescent="0.3">
      <c r="B20" s="72"/>
      <c r="C20" s="74"/>
      <c r="D20" s="73"/>
      <c r="E20" s="41"/>
    </row>
    <row r="21" spans="2:20" ht="14.25" customHeight="1" x14ac:dyDescent="0.3">
      <c r="B21" s="72"/>
      <c r="C21" s="74"/>
      <c r="D21" s="73"/>
      <c r="E21" s="41"/>
    </row>
    <row r="23" spans="2:20" ht="14.25" customHeight="1" x14ac:dyDescent="0.3">
      <c r="B23" s="162"/>
      <c r="C23" s="162"/>
      <c r="D23" s="162"/>
      <c r="E23" s="162"/>
    </row>
    <row r="24" spans="2:20" ht="14.25" customHeight="1" x14ac:dyDescent="0.3">
      <c r="B24" s="75" t="s">
        <v>104</v>
      </c>
      <c r="C24" s="39" t="s">
        <v>105</v>
      </c>
      <c r="D24" s="39" t="s">
        <v>14</v>
      </c>
      <c r="E24" s="76"/>
      <c r="P24" s="50" t="s">
        <v>104</v>
      </c>
      <c r="Q24" s="51" t="s">
        <v>105</v>
      </c>
      <c r="R24" s="51" t="s">
        <v>107</v>
      </c>
      <c r="S24" s="51" t="s">
        <v>15</v>
      </c>
      <c r="T24" s="51" t="s">
        <v>108</v>
      </c>
    </row>
    <row r="25" spans="2:20" ht="14.25" customHeight="1" x14ac:dyDescent="0.3">
      <c r="B25" s="53">
        <v>1</v>
      </c>
      <c r="C25" s="54" t="s">
        <v>6</v>
      </c>
      <c r="D25" s="77">
        <f t="shared" ref="D25:D32" si="3">D7</f>
        <v>10232</v>
      </c>
      <c r="E25" s="78"/>
      <c r="P25" s="53">
        <v>1</v>
      </c>
      <c r="Q25" s="54" t="s">
        <v>6</v>
      </c>
      <c r="R25" s="79">
        <f t="shared" ref="R25:R32" si="4">D25</f>
        <v>10232</v>
      </c>
      <c r="S25" s="57">
        <f>'Income Statement'!C9</f>
        <v>5113</v>
      </c>
      <c r="T25" s="77">
        <f t="shared" ref="T25:T32" si="5">R25-S25</f>
        <v>5119</v>
      </c>
    </row>
    <row r="26" spans="2:20" ht="14.25" customHeight="1" x14ac:dyDescent="0.3">
      <c r="B26" s="53">
        <f t="shared" ref="B26:B32" si="6">B25+1</f>
        <v>2</v>
      </c>
      <c r="C26" s="54" t="s">
        <v>7</v>
      </c>
      <c r="D26" s="77">
        <f t="shared" si="3"/>
        <v>10396</v>
      </c>
      <c r="E26" s="80"/>
      <c r="P26" s="53">
        <f t="shared" ref="P26:P32" si="7">P25+1</f>
        <v>2</v>
      </c>
      <c r="Q26" s="54" t="s">
        <v>7</v>
      </c>
      <c r="R26" s="79">
        <f t="shared" si="4"/>
        <v>10396</v>
      </c>
      <c r="S26" s="57">
        <f>'Income Statement'!D9</f>
        <v>5174</v>
      </c>
      <c r="T26" s="77">
        <f t="shared" si="5"/>
        <v>5222</v>
      </c>
    </row>
    <row r="27" spans="2:20" ht="14.25" customHeight="1" x14ac:dyDescent="0.3">
      <c r="B27" s="53">
        <f t="shared" si="6"/>
        <v>3</v>
      </c>
      <c r="C27" s="60" t="s">
        <v>8</v>
      </c>
      <c r="D27" s="77">
        <f t="shared" si="3"/>
        <v>11435.6</v>
      </c>
      <c r="E27" s="80"/>
      <c r="P27" s="53">
        <f t="shared" si="7"/>
        <v>3</v>
      </c>
      <c r="Q27" s="60" t="s">
        <v>8</v>
      </c>
      <c r="R27" s="79">
        <f t="shared" si="4"/>
        <v>11435.6</v>
      </c>
      <c r="S27" s="57">
        <f>'Income Statement'!E9</f>
        <v>5717.8</v>
      </c>
      <c r="T27" s="77">
        <f t="shared" si="5"/>
        <v>5717.8</v>
      </c>
    </row>
    <row r="28" spans="2:20" ht="14.25" customHeight="1" x14ac:dyDescent="0.3">
      <c r="B28" s="53">
        <f t="shared" si="6"/>
        <v>4</v>
      </c>
      <c r="C28" s="60" t="s">
        <v>9</v>
      </c>
      <c r="D28" s="77">
        <f t="shared" si="3"/>
        <v>12579.160000000002</v>
      </c>
      <c r="E28" s="80"/>
      <c r="P28" s="53">
        <f t="shared" si="7"/>
        <v>4</v>
      </c>
      <c r="Q28" s="60" t="s">
        <v>9</v>
      </c>
      <c r="R28" s="79">
        <f t="shared" si="4"/>
        <v>12579.160000000002</v>
      </c>
      <c r="S28" s="57">
        <f>'Income Statement'!F9</f>
        <v>6163.7884000000004</v>
      </c>
      <c r="T28" s="77">
        <f t="shared" si="5"/>
        <v>6415.3716000000013</v>
      </c>
    </row>
    <row r="29" spans="2:20" ht="14.25" customHeight="1" x14ac:dyDescent="0.3">
      <c r="B29" s="53">
        <f t="shared" si="6"/>
        <v>5</v>
      </c>
      <c r="C29" s="60" t="s">
        <v>10</v>
      </c>
      <c r="D29" s="77">
        <f t="shared" si="3"/>
        <v>13837.076000000003</v>
      </c>
      <c r="E29" s="80"/>
      <c r="P29" s="53">
        <f t="shared" si="7"/>
        <v>5</v>
      </c>
      <c r="Q29" s="60" t="s">
        <v>10</v>
      </c>
      <c r="R29" s="79">
        <f t="shared" si="4"/>
        <v>13837.076000000003</v>
      </c>
      <c r="S29" s="57">
        <f>'Income Statement'!G9</f>
        <v>6641.7964800000009</v>
      </c>
      <c r="T29" s="77">
        <f t="shared" si="5"/>
        <v>7195.2795200000019</v>
      </c>
    </row>
    <row r="30" spans="2:20" ht="14.25" customHeight="1" x14ac:dyDescent="0.3">
      <c r="B30" s="53">
        <f t="shared" si="6"/>
        <v>6</v>
      </c>
      <c r="C30" s="60" t="s">
        <v>11</v>
      </c>
      <c r="D30" s="77">
        <f t="shared" si="3"/>
        <v>15220.783600000004</v>
      </c>
      <c r="E30" s="80"/>
      <c r="P30" s="53">
        <f t="shared" si="7"/>
        <v>6</v>
      </c>
      <c r="Q30" s="60" t="s">
        <v>11</v>
      </c>
      <c r="R30" s="79">
        <f t="shared" si="4"/>
        <v>15220.783600000004</v>
      </c>
      <c r="S30" s="57">
        <f>'Income Statement'!H9</f>
        <v>7153.7682920000016</v>
      </c>
      <c r="T30" s="77">
        <f t="shared" si="5"/>
        <v>8067.0153080000027</v>
      </c>
    </row>
    <row r="31" spans="2:20" ht="14.25" customHeight="1" x14ac:dyDescent="0.3">
      <c r="B31" s="53">
        <f t="shared" si="6"/>
        <v>7</v>
      </c>
      <c r="C31" s="60" t="s">
        <v>12</v>
      </c>
      <c r="D31" s="77">
        <f t="shared" si="3"/>
        <v>16742.861960000006</v>
      </c>
      <c r="E31" s="80"/>
      <c r="P31" s="53">
        <f t="shared" si="7"/>
        <v>7</v>
      </c>
      <c r="Q31" s="60" t="s">
        <v>12</v>
      </c>
      <c r="R31" s="79">
        <f t="shared" si="4"/>
        <v>16742.861960000006</v>
      </c>
      <c r="S31" s="57">
        <f>'Income Statement'!I9</f>
        <v>7701.7165016000026</v>
      </c>
      <c r="T31" s="77">
        <f t="shared" si="5"/>
        <v>9041.1454584000021</v>
      </c>
    </row>
    <row r="32" spans="2:20" ht="14.25" customHeight="1" x14ac:dyDescent="0.3">
      <c r="B32" s="63">
        <f t="shared" si="6"/>
        <v>8</v>
      </c>
      <c r="C32" s="64" t="s">
        <v>13</v>
      </c>
      <c r="D32" s="81">
        <f t="shared" si="3"/>
        <v>18417.148156000007</v>
      </c>
      <c r="E32" s="80"/>
      <c r="P32" s="63">
        <f t="shared" si="7"/>
        <v>8</v>
      </c>
      <c r="Q32" s="64" t="s">
        <v>13</v>
      </c>
      <c r="R32" s="82">
        <f t="shared" si="4"/>
        <v>18417.148156000007</v>
      </c>
      <c r="S32" s="67">
        <f>'Income Statement'!J9</f>
        <v>8287.7166702000031</v>
      </c>
      <c r="T32" s="81">
        <f t="shared" si="5"/>
        <v>10129.431485800003</v>
      </c>
    </row>
  </sheetData>
  <mergeCells count="2">
    <mergeCell ref="B5:E5"/>
    <mergeCell ref="B23:E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8"/>
  <sheetViews>
    <sheetView showGridLines="0" tabSelected="1" zoomScaleNormal="100" workbookViewId="0">
      <selection activeCell="N27" sqref="N27"/>
    </sheetView>
  </sheetViews>
  <sheetFormatPr defaultColWidth="8.6640625" defaultRowHeight="14.4" x14ac:dyDescent="0.3"/>
  <cols>
    <col min="1" max="1" width="2.33203125" style="1" customWidth="1"/>
    <col min="2" max="2" width="31" style="1" customWidth="1"/>
    <col min="3" max="9" width="14" style="1" customWidth="1"/>
  </cols>
  <sheetData>
    <row r="3" spans="2:9" ht="17.25" customHeight="1" x14ac:dyDescent="0.5">
      <c r="B3" s="83" t="s">
        <v>0</v>
      </c>
    </row>
    <row r="5" spans="2:9" ht="17.25" customHeight="1" x14ac:dyDescent="0.35">
      <c r="B5" s="84" t="s">
        <v>109</v>
      </c>
      <c r="C5" s="85"/>
    </row>
    <row r="7" spans="2:9" ht="15" customHeight="1" x14ac:dyDescent="0.3">
      <c r="B7" s="105"/>
    </row>
    <row r="8" spans="2:9" ht="27.75" customHeight="1" x14ac:dyDescent="0.3">
      <c r="B8" s="86" t="s">
        <v>111</v>
      </c>
      <c r="C8" s="87" t="s">
        <v>118</v>
      </c>
      <c r="D8" s="87" t="s">
        <v>119</v>
      </c>
      <c r="E8" s="87" t="s">
        <v>120</v>
      </c>
      <c r="F8" s="87" t="s">
        <v>121</v>
      </c>
      <c r="G8" s="87" t="s">
        <v>122</v>
      </c>
      <c r="H8" s="87" t="s">
        <v>123</v>
      </c>
      <c r="I8" s="87" t="s">
        <v>124</v>
      </c>
    </row>
    <row r="9" spans="2:9" ht="15" customHeight="1" x14ac:dyDescent="0.3">
      <c r="B9" s="88" t="s">
        <v>14</v>
      </c>
      <c r="C9" s="94">
        <f>'Income Statement'!D8-'Income Statement'!C8</f>
        <v>164</v>
      </c>
      <c r="D9" s="94">
        <f>'Income Statement'!E8-'Income Statement'!D8</f>
        <v>1039.6000000000004</v>
      </c>
      <c r="E9" s="94">
        <f>'Income Statement'!F8-'Income Statement'!E8</f>
        <v>1143.5600000000013</v>
      </c>
      <c r="F9" s="94">
        <f>'Income Statement'!G8-'Income Statement'!F8</f>
        <v>1257.9160000000011</v>
      </c>
      <c r="G9" s="94">
        <f>'Income Statement'!H8-'Income Statement'!G8</f>
        <v>1383.7076000000015</v>
      </c>
      <c r="H9" s="94">
        <f>'Income Statement'!I8-'Income Statement'!H8</f>
        <v>1522.0783600000013</v>
      </c>
      <c r="I9" s="94">
        <f>'Income Statement'!J8-'Income Statement'!I8</f>
        <v>1674.2861960000009</v>
      </c>
    </row>
    <row r="10" spans="2:9" ht="15" customHeight="1" x14ac:dyDescent="0.3">
      <c r="B10" s="88" t="s">
        <v>15</v>
      </c>
      <c r="C10" s="94">
        <f>'Income Statement'!D9-'Income Statement'!C9</f>
        <v>61</v>
      </c>
      <c r="D10" s="94">
        <f>'Income Statement'!E9-'Income Statement'!D9</f>
        <v>543.80000000000018</v>
      </c>
      <c r="E10" s="94">
        <f>'Income Statement'!F9-'Income Statement'!E9</f>
        <v>445.98840000000018</v>
      </c>
      <c r="F10" s="94">
        <f>'Income Statement'!G9-'Income Statement'!F9</f>
        <v>478.00808000000052</v>
      </c>
      <c r="G10" s="94">
        <f>'Income Statement'!H9-'Income Statement'!G9</f>
        <v>511.97181200000068</v>
      </c>
      <c r="H10" s="94">
        <f>'Income Statement'!I9-'Income Statement'!H9</f>
        <v>547.94820960000106</v>
      </c>
      <c r="I10" s="94">
        <f>'Income Statement'!J9-'Income Statement'!I9</f>
        <v>586.00016860000051</v>
      </c>
    </row>
    <row r="11" spans="2:9" ht="15" customHeight="1" x14ac:dyDescent="0.3">
      <c r="B11" s="95" t="s">
        <v>108</v>
      </c>
      <c r="C11" s="96">
        <f>'Income Statement'!D10-'Income Statement'!C10</f>
        <v>103</v>
      </c>
      <c r="D11" s="96">
        <f>'Income Statement'!E10-'Income Statement'!D10</f>
        <v>495.80000000000018</v>
      </c>
      <c r="E11" s="96">
        <f>'Income Statement'!F10-'Income Statement'!E10</f>
        <v>697.57160000000113</v>
      </c>
      <c r="F11" s="96">
        <f>'Income Statement'!G10-'Income Statement'!F10</f>
        <v>779.90792000000056</v>
      </c>
      <c r="G11" s="96">
        <f>'Income Statement'!H10-'Income Statement'!G10</f>
        <v>871.73578800000087</v>
      </c>
      <c r="H11" s="96">
        <f>'Income Statement'!I10-'Income Statement'!H10</f>
        <v>974.13015039999937</v>
      </c>
      <c r="I11" s="96">
        <f>'Income Statement'!J10-'Income Statement'!I10</f>
        <v>1088.2860274000013</v>
      </c>
    </row>
    <row r="12" spans="2:9" ht="15" customHeight="1" x14ac:dyDescent="0.3">
      <c r="B12" s="88" t="s">
        <v>17</v>
      </c>
      <c r="C12" s="94">
        <f>'Income Statement'!D12-'Income Statement'!C12</f>
        <v>-9</v>
      </c>
      <c r="D12" s="94">
        <f>'Income Statement'!E12-'Income Statement'!D12</f>
        <v>498.15599999999995</v>
      </c>
      <c r="E12" s="94">
        <f>'Income Statement'!F12-'Income Statement'!E12</f>
        <v>331.63240000000042</v>
      </c>
      <c r="F12" s="94">
        <f>'Income Statement'!G12-'Income Statement'!F12</f>
        <v>339.63732000000073</v>
      </c>
      <c r="G12" s="94">
        <f>'Income Statement'!H12-'Income Statement'!G12</f>
        <v>345.9269000000013</v>
      </c>
      <c r="H12" s="94">
        <f>'Income Statement'!I12-'Income Statement'!H12</f>
        <v>350.07802280000033</v>
      </c>
      <c r="I12" s="94">
        <f>'Income Statement'!J12-'Income Statement'!I12</f>
        <v>351.60010115999921</v>
      </c>
    </row>
    <row r="13" spans="2:9" ht="15" customHeight="1" x14ac:dyDescent="0.3">
      <c r="B13" s="95" t="s">
        <v>18</v>
      </c>
      <c r="C13" s="96">
        <f>'Income Statement'!D13-'Income Statement'!C13</f>
        <v>112</v>
      </c>
      <c r="D13" s="96">
        <f>'Income Statement'!E13-'Income Statement'!D13</f>
        <v>-2.3559999999997672</v>
      </c>
      <c r="E13" s="96">
        <f>'Income Statement'!F13-'Income Statement'!E13</f>
        <v>365.93920000000071</v>
      </c>
      <c r="F13" s="96">
        <f>'Income Statement'!G13-'Income Statement'!F13</f>
        <v>440.27059999999983</v>
      </c>
      <c r="G13" s="96">
        <f>'Income Statement'!H13-'Income Statement'!G13</f>
        <v>525.80888799999957</v>
      </c>
      <c r="H13" s="96">
        <f>'Income Statement'!I13-'Income Statement'!H13</f>
        <v>624.05212759999904</v>
      </c>
      <c r="I13" s="96">
        <f>'Income Statement'!J13-'Income Statement'!I13</f>
        <v>736.68592624000212</v>
      </c>
    </row>
    <row r="14" spans="2:9" ht="15" customHeight="1" x14ac:dyDescent="0.3">
      <c r="B14" s="95" t="s">
        <v>22</v>
      </c>
      <c r="C14" s="96">
        <f>'Income Statement'!D16-'Income Statement'!C16</f>
        <v>112</v>
      </c>
      <c r="D14" s="96">
        <f>'Income Statement'!E16-'Income Statement'!D16</f>
        <v>-2.3559999999997672</v>
      </c>
      <c r="E14" s="96">
        <f>'Income Statement'!F16-'Income Statement'!E16</f>
        <v>365.93920000000071</v>
      </c>
      <c r="F14" s="96">
        <f>'Income Statement'!G16-'Income Statement'!F16</f>
        <v>440.27059999999983</v>
      </c>
      <c r="G14" s="96">
        <f>'Income Statement'!H16-'Income Statement'!G16</f>
        <v>525.80888799999957</v>
      </c>
      <c r="H14" s="96">
        <f>'Income Statement'!I16-'Income Statement'!H16</f>
        <v>624.05212759999904</v>
      </c>
      <c r="I14" s="96">
        <f>'Income Statement'!J16-'Income Statement'!I16</f>
        <v>736.68592624000212</v>
      </c>
    </row>
    <row r="15" spans="2:9" ht="15" customHeight="1" x14ac:dyDescent="0.3">
      <c r="B15" s="88" t="s">
        <v>23</v>
      </c>
      <c r="C15" s="94">
        <f>'Income Statement'!D17-'Income Statement'!C17</f>
        <v>96</v>
      </c>
      <c r="D15" s="94">
        <f>'Income Statement'!E17-'Income Statement'!D17</f>
        <v>-56</v>
      </c>
      <c r="E15" s="94">
        <f>'Income Statement'!F17-'Income Statement'!E17</f>
        <v>0</v>
      </c>
      <c r="F15" s="94">
        <f>'Income Statement'!G17-'Income Statement'!F17</f>
        <v>0</v>
      </c>
      <c r="G15" s="94">
        <f>'Income Statement'!H17-'Income Statement'!G17</f>
        <v>0</v>
      </c>
      <c r="H15" s="94">
        <f>'Income Statement'!I17-'Income Statement'!H17</f>
        <v>0</v>
      </c>
      <c r="I15" s="94">
        <f>'Income Statement'!J17-'Income Statement'!I17</f>
        <v>0</v>
      </c>
    </row>
    <row r="16" spans="2:9" ht="15" customHeight="1" x14ac:dyDescent="0.3">
      <c r="B16" s="97" t="s">
        <v>24</v>
      </c>
      <c r="C16" s="98">
        <f>'Income Statement'!D19-'Income Statement'!C19</f>
        <v>16</v>
      </c>
      <c r="D16" s="98">
        <f>'Income Statement'!E19-'Income Statement'!D19</f>
        <v>53.644000000000233</v>
      </c>
      <c r="E16" s="98">
        <f>'Income Statement'!F19-'Income Statement'!E19</f>
        <v>365.93920000000071</v>
      </c>
      <c r="F16" s="98">
        <f>'Income Statement'!G19-'Income Statement'!F19</f>
        <v>440.27059999999983</v>
      </c>
      <c r="G16" s="98">
        <f>'Income Statement'!H19-'Income Statement'!G19</f>
        <v>525.80888799999957</v>
      </c>
      <c r="H16" s="98">
        <f>'Income Statement'!I19-'Income Statement'!H19</f>
        <v>624.05212759999904</v>
      </c>
      <c r="I16" s="98">
        <f>'Income Statement'!J19-'Income Statement'!I19</f>
        <v>736.68592624000212</v>
      </c>
    </row>
    <row r="17" spans="2:9" ht="15" customHeight="1" thickBot="1" x14ac:dyDescent="0.35">
      <c r="B17" s="88" t="s">
        <v>25</v>
      </c>
      <c r="C17" s="94">
        <f>'Income Statement'!D21-'Income Statement'!C21</f>
        <v>-25</v>
      </c>
      <c r="D17" s="94">
        <f>'Income Statement'!E21-'Income Statement'!D21</f>
        <v>-89.871199999999959</v>
      </c>
      <c r="E17" s="94">
        <f>'Income Statement'!F21-'Income Statement'!E21</f>
        <v>73.187840000000151</v>
      </c>
      <c r="F17" s="94">
        <f>'Income Statement'!G21-'Income Statement'!F21</f>
        <v>88.054119999999969</v>
      </c>
      <c r="G17" s="94">
        <f>'Income Statement'!H21-'Income Statement'!G21</f>
        <v>105.16177759999991</v>
      </c>
      <c r="H17" s="94">
        <f>'Income Statement'!I21-'Income Statement'!H21</f>
        <v>124.8104255199998</v>
      </c>
      <c r="I17" s="94">
        <f>'Income Statement'!J21-'Income Statement'!I21</f>
        <v>147.33718524800048</v>
      </c>
    </row>
    <row r="18" spans="2:9" ht="15" customHeight="1" thickBot="1" x14ac:dyDescent="0.35">
      <c r="B18" s="99" t="s">
        <v>26</v>
      </c>
      <c r="C18" s="100">
        <f>'Income Statement'!D22-'Income Statement'!C22</f>
        <v>41</v>
      </c>
      <c r="D18" s="100">
        <f>'Income Statement'!E22-'Income Statement'!D22</f>
        <v>143.51520000000016</v>
      </c>
      <c r="E18" s="100">
        <f>'Income Statement'!F22-'Income Statement'!E22</f>
        <v>292.7513600000006</v>
      </c>
      <c r="F18" s="100">
        <f>'Income Statement'!G22-'Income Statement'!F22</f>
        <v>352.21647999999988</v>
      </c>
      <c r="G18" s="100">
        <f>'Income Statement'!H22-'Income Statement'!G22</f>
        <v>420.64711039999963</v>
      </c>
      <c r="H18" s="100">
        <f>'Income Statement'!I22-'Income Statement'!H22</f>
        <v>499.24170207999919</v>
      </c>
      <c r="I18" s="100">
        <f>'Income Statement'!J22-'Income Statement'!I22</f>
        <v>589.34874099200169</v>
      </c>
    </row>
    <row r="19" spans="2:9" ht="15" thickTop="1" x14ac:dyDescent="0.3"/>
    <row r="21" spans="2:9" ht="15" customHeight="1" x14ac:dyDescent="0.3">
      <c r="B21" s="85" t="s">
        <v>112</v>
      </c>
    </row>
    <row r="22" spans="2:9" ht="27.75" customHeight="1" x14ac:dyDescent="0.3">
      <c r="B22" s="86" t="s">
        <v>111</v>
      </c>
      <c r="C22" s="101" t="s">
        <v>118</v>
      </c>
      <c r="D22" s="101" t="s">
        <v>119</v>
      </c>
      <c r="E22" s="101" t="s">
        <v>120</v>
      </c>
      <c r="F22" s="101" t="s">
        <v>121</v>
      </c>
      <c r="G22" s="101" t="s">
        <v>122</v>
      </c>
      <c r="H22" s="101" t="s">
        <v>123</v>
      </c>
      <c r="I22" s="101" t="s">
        <v>124</v>
      </c>
    </row>
    <row r="23" spans="2:9" ht="15" customHeight="1" x14ac:dyDescent="0.3">
      <c r="B23" s="88" t="s">
        <v>14</v>
      </c>
      <c r="C23" s="102">
        <f>IFERROR(('Income Statement'!D8-'Income Statement'!C8)/ABS('Income Statement'!C8),"n/m")</f>
        <v>1.6028146989835811E-2</v>
      </c>
      <c r="D23" s="102">
        <f>IFERROR(('Income Statement'!E8-'Income Statement'!D8)/ABS('Income Statement'!D8),"n/m")</f>
        <v>0.10000000000000003</v>
      </c>
      <c r="E23" s="102">
        <f>IFERROR(('Income Statement'!F8-'Income Statement'!E8)/ABS('Income Statement'!E8),"n/m")</f>
        <v>0.10000000000000012</v>
      </c>
      <c r="F23" s="102">
        <f>IFERROR(('Income Statement'!G8-'Income Statement'!F8)/ABS('Income Statement'!F8),"n/m")</f>
        <v>0.10000000000000007</v>
      </c>
      <c r="G23" s="102">
        <f>IFERROR(('Income Statement'!H8-'Income Statement'!G8)/ABS('Income Statement'!G8),"n/m")</f>
        <v>0.10000000000000009</v>
      </c>
      <c r="H23" s="102">
        <f>IFERROR(('Income Statement'!I8-'Income Statement'!H8)/ABS('Income Statement'!H8),"n/m")</f>
        <v>0.10000000000000006</v>
      </c>
      <c r="I23" s="102">
        <f>IFERROR(('Income Statement'!J8-'Income Statement'!I8)/ABS('Income Statement'!I8),"n/m")</f>
        <v>0.10000000000000002</v>
      </c>
    </row>
    <row r="24" spans="2:9" ht="15" customHeight="1" x14ac:dyDescent="0.3">
      <c r="B24" s="88" t="s">
        <v>15</v>
      </c>
      <c r="C24" s="102">
        <f>IFERROR(('Income Statement'!D9-'Income Statement'!C9)/ABS('Income Statement'!C9),"n/m")</f>
        <v>1.1930373557598279E-2</v>
      </c>
      <c r="D24" s="102">
        <f>IFERROR(('Income Statement'!E9-'Income Statement'!D9)/ABS('Income Statement'!D9),"n/m")</f>
        <v>0.10510243525318906</v>
      </c>
      <c r="E24" s="102">
        <f>IFERROR(('Income Statement'!F9-'Income Statement'!E9)/ABS('Income Statement'!E9),"n/m")</f>
        <v>7.8000000000000028E-2</v>
      </c>
      <c r="F24" s="102">
        <f>IFERROR(('Income Statement'!G9-'Income Statement'!F9)/ABS('Income Statement'!F9),"n/m")</f>
        <v>7.7551020408163349E-2</v>
      </c>
      <c r="G24" s="102">
        <f>IFERROR(('Income Statement'!H9-'Income Statement'!G9)/ABS('Income Statement'!G9),"n/m")</f>
        <v>7.708333333333342E-2</v>
      </c>
      <c r="H24" s="102">
        <f>IFERROR(('Income Statement'!I9-'Income Statement'!H9)/ABS('Income Statement'!H9),"n/m")</f>
        <v>7.6595744680851202E-2</v>
      </c>
      <c r="I24" s="102">
        <f>IFERROR(('Income Statement'!J9-'Income Statement'!I9)/ABS('Income Statement'!I9),"n/m")</f>
        <v>7.6086956521739177E-2</v>
      </c>
    </row>
    <row r="25" spans="2:9" ht="15" customHeight="1" x14ac:dyDescent="0.3">
      <c r="B25" s="95" t="s">
        <v>108</v>
      </c>
      <c r="C25" s="103">
        <f>IFERROR(('Income Statement'!D10-'Income Statement'!C10)/ABS('Income Statement'!C10),"n/m")</f>
        <v>2.0121117405743308E-2</v>
      </c>
      <c r="D25" s="103">
        <f>IFERROR(('Income Statement'!E10-'Income Statement'!D10)/ABS('Income Statement'!D10),"n/m")</f>
        <v>9.4944465721945648E-2</v>
      </c>
      <c r="E25" s="103">
        <f>IFERROR(('Income Statement'!F10-'Income Statement'!E10)/ABS('Income Statement'!E10),"n/m")</f>
        <v>0.12200000000000019</v>
      </c>
      <c r="F25" s="103">
        <f>IFERROR(('Income Statement'!G10-'Income Statement'!F10)/ABS('Income Statement'!F10),"n/m")</f>
        <v>0.12156862745098046</v>
      </c>
      <c r="G25" s="103">
        <f>IFERROR(('Income Statement'!H10-'Income Statement'!G10)/ABS('Income Statement'!G10),"n/m")</f>
        <v>0.12115384615384624</v>
      </c>
      <c r="H25" s="103">
        <f>IFERROR(('Income Statement'!I10-'Income Statement'!H10)/ABS('Income Statement'!H10),"n/m")</f>
        <v>0.12075471698113195</v>
      </c>
      <c r="I25" s="103">
        <f>IFERROR(('Income Statement'!J10-'Income Statement'!I10)/ABS('Income Statement'!I10),"n/m")</f>
        <v>0.12037037037037049</v>
      </c>
    </row>
    <row r="26" spans="2:9" ht="15" customHeight="1" x14ac:dyDescent="0.3">
      <c r="B26" s="88" t="s">
        <v>17</v>
      </c>
      <c r="C26" s="102">
        <f>IFERROR(('Income Statement'!D12-'Income Statement'!C12)/ABS('Income Statement'!C12),"n/m")</f>
        <v>-1.6844469399213925E-3</v>
      </c>
      <c r="D26" s="102">
        <f>IFERROR(('Income Statement'!E12-'Income Statement'!D12)/ABS('Income Statement'!D12),"n/m")</f>
        <v>9.3392575928008995E-2</v>
      </c>
      <c r="E26" s="102">
        <f>IFERROR(('Income Statement'!F12-'Income Statement'!E12)/ABS('Income Statement'!E12),"n/m")</f>
        <v>5.6862745098039284E-2</v>
      </c>
      <c r="F26" s="102">
        <f>IFERROR(('Income Statement'!G12-'Income Statement'!F12)/ABS('Income Statement'!F12),"n/m")</f>
        <v>5.5102040816326643E-2</v>
      </c>
      <c r="G26" s="102">
        <f>IFERROR(('Income Statement'!H12-'Income Statement'!G12)/ABS('Income Statement'!G12),"n/m")</f>
        <v>5.3191489361702315E-2</v>
      </c>
      <c r="H26" s="102">
        <f>IFERROR(('Income Statement'!I12-'Income Statement'!H12)/ABS('Income Statement'!H12),"n/m")</f>
        <v>5.1111111111111142E-2</v>
      </c>
      <c r="I26" s="102">
        <f>IFERROR(('Income Statement'!J12-'Income Statement'!I12)/ABS('Income Statement'!I12),"n/m")</f>
        <v>4.8837209302325456E-2</v>
      </c>
    </row>
    <row r="27" spans="2:9" ht="15" customHeight="1" x14ac:dyDescent="0.3">
      <c r="B27" s="95" t="s">
        <v>18</v>
      </c>
      <c r="C27" s="103">
        <f>IFERROR(('Income Statement'!D13-'Income Statement'!C13)/ABS('Income Statement'!C13),"n/m")</f>
        <v>0.5</v>
      </c>
      <c r="D27" s="103">
        <f>IFERROR(('Income Statement'!E13-'Income Statement'!D13)/ABS('Income Statement'!D13),"n/m")</f>
        <v>-2.1035714285712208E-2</v>
      </c>
      <c r="E27" s="103">
        <f>IFERROR(('Income Statement'!F13-'Income Statement'!E13)/ABS('Income Statement'!E13),"n/m")</f>
        <v>3.2000000000000126</v>
      </c>
      <c r="F27" s="103">
        <f>IFERROR(('Income Statement'!G13-'Income Statement'!F13)/ABS('Income Statement'!F13),"n/m")</f>
        <v>1.7499999999999927</v>
      </c>
      <c r="G27" s="103">
        <f>IFERROR(('Income Statement'!H13-'Income Statement'!G13)/ABS('Income Statement'!G13),"n/m")</f>
        <v>0.75999999999999857</v>
      </c>
      <c r="H27" s="103">
        <f>IFERROR(('Income Statement'!I13-'Income Statement'!H13)/ABS('Income Statement'!H13),"n/m")</f>
        <v>0.51249999999999907</v>
      </c>
      <c r="I27" s="103">
        <f>IFERROR(('Income Statement'!J13-'Income Statement'!I13)/ABS('Income Statement'!I13),"n/m")</f>
        <v>0.4000000000000013</v>
      </c>
    </row>
    <row r="28" spans="2:9" ht="15" customHeight="1" x14ac:dyDescent="0.3">
      <c r="B28" s="95" t="s">
        <v>22</v>
      </c>
      <c r="C28" s="103">
        <f>IFERROR(('Income Statement'!D16-'Income Statement'!C16)/ABS('Income Statement'!C16),"n/m")</f>
        <v>0.5</v>
      </c>
      <c r="D28" s="103">
        <f>IFERROR(('Income Statement'!E16-'Income Statement'!D16)/ABS('Income Statement'!D16),"n/m")</f>
        <v>-2.1035714285712208E-2</v>
      </c>
      <c r="E28" s="103">
        <f>IFERROR(('Income Statement'!F16-'Income Statement'!E16)/ABS('Income Statement'!E16),"n/m")</f>
        <v>3.2000000000000126</v>
      </c>
      <c r="F28" s="103">
        <f>IFERROR(('Income Statement'!G16-'Income Statement'!F16)/ABS('Income Statement'!F16),"n/m")</f>
        <v>1.7499999999999927</v>
      </c>
      <c r="G28" s="103">
        <f>IFERROR(('Income Statement'!H16-'Income Statement'!G16)/ABS('Income Statement'!G16),"n/m")</f>
        <v>0.75999999999999857</v>
      </c>
      <c r="H28" s="103">
        <f>IFERROR(('Income Statement'!I16-'Income Statement'!H16)/ABS('Income Statement'!H16),"n/m")</f>
        <v>0.51249999999999907</v>
      </c>
      <c r="I28" s="103">
        <f>IFERROR(('Income Statement'!J16-'Income Statement'!I16)/ABS('Income Statement'!I16),"n/m")</f>
        <v>0.4000000000000013</v>
      </c>
    </row>
    <row r="29" spans="2:9" ht="15" customHeight="1" x14ac:dyDescent="0.3">
      <c r="B29" s="88" t="s">
        <v>23</v>
      </c>
      <c r="C29" s="102">
        <f>IFERROR(('Income Statement'!D17-'Income Statement'!C17)/ABS('Income Statement'!C17),"n/m")</f>
        <v>0.30967741935483872</v>
      </c>
      <c r="D29" s="102">
        <f>IFERROR(('Income Statement'!E17-'Income Statement'!D17)/ABS('Income Statement'!D17),"n/m")</f>
        <v>-0.13793103448275862</v>
      </c>
      <c r="E29" s="102">
        <f>IFERROR(('Income Statement'!F17-'Income Statement'!E17)/ABS('Income Statement'!E17),"n/m")</f>
        <v>0</v>
      </c>
      <c r="F29" s="102">
        <f>IFERROR(('Income Statement'!G17-'Income Statement'!F17)/ABS('Income Statement'!F17),"n/m")</f>
        <v>0</v>
      </c>
      <c r="G29" s="102">
        <f>IFERROR(('Income Statement'!H17-'Income Statement'!G17)/ABS('Income Statement'!G17),"n/m")</f>
        <v>0</v>
      </c>
      <c r="H29" s="102">
        <f>IFERROR(('Income Statement'!I17-'Income Statement'!H17)/ABS('Income Statement'!H17),"n/m")</f>
        <v>0</v>
      </c>
      <c r="I29" s="102">
        <f>IFERROR(('Income Statement'!J17-'Income Statement'!I17)/ABS('Income Statement'!I17),"n/m")</f>
        <v>0</v>
      </c>
    </row>
    <row r="30" spans="2:9" ht="15" customHeight="1" x14ac:dyDescent="0.3">
      <c r="B30" s="95" t="s">
        <v>24</v>
      </c>
      <c r="C30" s="103">
        <f>IFERROR(('Income Statement'!D19-'Income Statement'!C19)/ABS('Income Statement'!C19),"n/m")</f>
        <v>2.9962546816479401E-2</v>
      </c>
      <c r="D30" s="103">
        <f>IFERROR(('Income Statement'!E19-'Income Statement'!D19)/ABS('Income Statement'!D19),"n/m")</f>
        <v>0.10355984555984601</v>
      </c>
      <c r="E30" s="103">
        <f>IFERROR(('Income Statement'!F19-'Income Statement'!E19)/ABS('Income Statement'!E19),"n/m")</f>
        <v>0.78805743868928346</v>
      </c>
      <c r="F30" s="103">
        <f>IFERROR(('Income Statement'!G19-'Income Statement'!F19)/ABS('Income Statement'!F19),"n/m")</f>
        <v>4.4735309418717542</v>
      </c>
      <c r="G30" s="103">
        <f>IFERROR(('Income Statement'!H19-'Income Statement'!G19)/ABS('Income Statement'!G19),"n/m")</f>
        <v>1.5381104086015671</v>
      </c>
      <c r="H30" s="103">
        <f>IFERROR(('Income Statement'!I19-'Income Statement'!H19)/ABS('Income Statement'!H19),"n/m")</f>
        <v>0.71923356418433293</v>
      </c>
      <c r="I30" s="103">
        <f>IFERROR(('Income Statement'!J19-'Income Statement'!I19)/ABS('Income Statement'!I19),"n/m")</f>
        <v>0.49385171919988702</v>
      </c>
    </row>
    <row r="31" spans="2:9" ht="15" customHeight="1" thickBot="1" x14ac:dyDescent="0.35">
      <c r="B31" s="88" t="s">
        <v>25</v>
      </c>
      <c r="C31" s="102">
        <f>IFERROR(('Income Statement'!D21-'Income Statement'!C21)/ABS('Income Statement'!C21),"n/m")</f>
        <v>-1.1363636363636365</v>
      </c>
      <c r="D31" s="102">
        <f>IFERROR(('Income Statement'!E21-'Income Statement'!D21)/ABS('Income Statement'!D21),"n/m")</f>
        <v>-29.957066666666652</v>
      </c>
      <c r="E31" s="102">
        <f>IFERROR(('Income Statement'!F21-'Income Statement'!E21)/ABS('Income Statement'!E21),"n/m")</f>
        <v>0.78805743868928346</v>
      </c>
      <c r="F31" s="102">
        <f>IFERROR(('Income Statement'!G21-'Income Statement'!F21)/ABS('Income Statement'!F21),"n/m")</f>
        <v>4.4735309418717542</v>
      </c>
      <c r="G31" s="102">
        <f>IFERROR(('Income Statement'!H21-'Income Statement'!G21)/ABS('Income Statement'!G21),"n/m")</f>
        <v>1.5381104086015669</v>
      </c>
      <c r="H31" s="102">
        <f>IFERROR(('Income Statement'!I21-'Income Statement'!H21)/ABS('Income Statement'!H21),"n/m")</f>
        <v>0.71923356418433282</v>
      </c>
      <c r="I31" s="102">
        <f>IFERROR(('Income Statement'!J21-'Income Statement'!I21)/ABS('Income Statement'!I21),"n/m")</f>
        <v>0.49385171919988724</v>
      </c>
    </row>
    <row r="32" spans="2:9" ht="15" customHeight="1" thickBot="1" x14ac:dyDescent="0.35">
      <c r="B32" s="99" t="s">
        <v>26</v>
      </c>
      <c r="C32" s="104">
        <f>IFERROR(('Income Statement'!D22-'Income Statement'!C22)/ABS('Income Statement'!C22),"n/m")</f>
        <v>7.3741007194244604E-2</v>
      </c>
      <c r="D32" s="104">
        <f>IFERROR(('Income Statement'!E22-'Income Statement'!D22)/ABS('Income Statement'!D22),"n/m")</f>
        <v>0.27867029126213622</v>
      </c>
      <c r="E32" s="104">
        <f>IFERROR(('Income Statement'!F22-'Income Statement'!E22)/ABS('Income Statement'!E22),"n/m")</f>
        <v>0.78805743868928346</v>
      </c>
      <c r="F32" s="104">
        <f>IFERROR(('Income Statement'!G22-'Income Statement'!F22)/ABS('Income Statement'!F22),"n/m")</f>
        <v>4.4735309418717542</v>
      </c>
      <c r="G32" s="104">
        <f>IFERROR(('Income Statement'!H22-'Income Statement'!G22)/ABS('Income Statement'!G22),"n/m")</f>
        <v>1.5381104086015669</v>
      </c>
      <c r="H32" s="104">
        <f>IFERROR(('Income Statement'!I22-'Income Statement'!H22)/ABS('Income Statement'!H22),"n/m")</f>
        <v>0.71923356418433282</v>
      </c>
      <c r="I32" s="104">
        <f>IFERROR(('Income Statement'!J22-'Income Statement'!I22)/ABS('Income Statement'!I22),"n/m")</f>
        <v>0.49385171919988702</v>
      </c>
    </row>
    <row r="33" spans="2:9" ht="15" thickTop="1" x14ac:dyDescent="0.3"/>
    <row r="35" spans="2:9" ht="15" customHeight="1" x14ac:dyDescent="0.3">
      <c r="B35" s="85"/>
    </row>
    <row r="36" spans="2:9" ht="15" customHeight="1" x14ac:dyDescent="0.3">
      <c r="B36" s="163"/>
      <c r="C36" s="163"/>
      <c r="D36" s="163"/>
      <c r="E36" s="163"/>
      <c r="F36" s="163"/>
      <c r="G36" s="163"/>
      <c r="H36" s="163"/>
      <c r="I36" s="163"/>
    </row>
    <row r="37" spans="2:9" ht="15" customHeight="1" x14ac:dyDescent="0.3">
      <c r="B37" s="163"/>
      <c r="C37" s="163"/>
      <c r="D37" s="163"/>
      <c r="E37" s="163"/>
      <c r="F37" s="163"/>
      <c r="G37" s="163"/>
      <c r="H37" s="163"/>
      <c r="I37" s="163"/>
    </row>
    <row r="38" spans="2:9" ht="15" customHeight="1" x14ac:dyDescent="0.3">
      <c r="B38" s="163"/>
      <c r="C38" s="163"/>
      <c r="D38" s="163"/>
      <c r="E38" s="163"/>
      <c r="F38" s="163"/>
      <c r="G38" s="163"/>
      <c r="H38" s="163"/>
      <c r="I38" s="163"/>
    </row>
  </sheetData>
  <mergeCells count="3">
    <mergeCell ref="B36:I36"/>
    <mergeCell ref="B37:I37"/>
    <mergeCell ref="B38:I3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85"/>
  <sheetViews>
    <sheetView showGridLines="0" zoomScaleNormal="100" workbookViewId="0">
      <selection activeCell="H26" sqref="H26"/>
    </sheetView>
  </sheetViews>
  <sheetFormatPr defaultColWidth="8.6640625" defaultRowHeight="14.4" x14ac:dyDescent="0.3"/>
  <cols>
    <col min="1" max="1" width="2.33203125" customWidth="1"/>
    <col min="2" max="2" width="31" customWidth="1"/>
    <col min="3" max="6" width="13" customWidth="1"/>
    <col min="7" max="7" width="6.5546875" customWidth="1"/>
    <col min="8" max="8" width="31" customWidth="1"/>
    <col min="9" max="12" width="13" customWidth="1"/>
  </cols>
  <sheetData>
    <row r="3" spans="2:12" ht="21" x14ac:dyDescent="0.5">
      <c r="B3" s="89" t="s">
        <v>0</v>
      </c>
    </row>
    <row r="5" spans="2:12" ht="18" x14ac:dyDescent="0.35">
      <c r="B5" s="90" t="s">
        <v>113</v>
      </c>
      <c r="C5" s="91"/>
    </row>
    <row r="7" spans="2:12" x14ac:dyDescent="0.3">
      <c r="B7" s="164"/>
      <c r="C7" s="164"/>
      <c r="D7" s="164"/>
      <c r="E7" s="164"/>
      <c r="F7" s="164"/>
      <c r="G7" s="164"/>
    </row>
    <row r="8" spans="2:12" ht="15" thickBot="1" x14ac:dyDescent="0.35"/>
    <row r="9" spans="2:12" x14ac:dyDescent="0.3">
      <c r="B9" s="165" t="s">
        <v>114</v>
      </c>
      <c r="C9" s="166"/>
      <c r="D9" s="166"/>
      <c r="E9" s="166"/>
      <c r="F9" s="167"/>
      <c r="G9" s="106"/>
      <c r="H9" s="165" t="s">
        <v>117</v>
      </c>
      <c r="I9" s="166"/>
      <c r="J9" s="166"/>
      <c r="K9" s="166"/>
      <c r="L9" s="167"/>
    </row>
    <row r="10" spans="2:12" x14ac:dyDescent="0.3">
      <c r="B10" s="134" t="s">
        <v>111</v>
      </c>
      <c r="C10" s="135" t="s">
        <v>115</v>
      </c>
      <c r="D10" s="135" t="s">
        <v>116</v>
      </c>
      <c r="E10" s="135" t="s">
        <v>110</v>
      </c>
      <c r="F10" s="136" t="s">
        <v>112</v>
      </c>
      <c r="G10" s="107"/>
      <c r="H10" s="134" t="s">
        <v>111</v>
      </c>
      <c r="I10" s="135" t="s">
        <v>115</v>
      </c>
      <c r="J10" s="135" t="s">
        <v>116</v>
      </c>
      <c r="K10" s="135" t="s">
        <v>110</v>
      </c>
      <c r="L10" s="136" t="s">
        <v>112</v>
      </c>
    </row>
    <row r="11" spans="2:12" x14ac:dyDescent="0.3">
      <c r="B11" s="113" t="s">
        <v>14</v>
      </c>
      <c r="C11" s="153">
        <f>'Income Statement'!E8</f>
        <v>11435.6</v>
      </c>
      <c r="D11" s="155"/>
      <c r="E11" s="120" t="str">
        <f>IF(D11="","-",D11-C11)</f>
        <v>-</v>
      </c>
      <c r="F11" s="121" t="str">
        <f>IF(D11="","-",IFERROR((D11-C11)/ABS(C11),"n/m"))</f>
        <v>-</v>
      </c>
      <c r="G11" s="109"/>
      <c r="H11" s="113" t="s">
        <v>14</v>
      </c>
      <c r="I11" s="111">
        <f>'Income Statement'!F8</f>
        <v>12579.160000000002</v>
      </c>
      <c r="J11" s="122"/>
      <c r="K11" s="92" t="str">
        <f t="shared" ref="K11:K20" si="0">IF(J11="","-",J11-I11)</f>
        <v>-</v>
      </c>
      <c r="L11" s="114" t="str">
        <f t="shared" ref="L11:L20" si="1">IF(J11="","-",IFERROR((J11-I11)/ABS(I11),"n/m"))</f>
        <v>-</v>
      </c>
    </row>
    <row r="12" spans="2:12" x14ac:dyDescent="0.3">
      <c r="B12" s="113" t="s">
        <v>15</v>
      </c>
      <c r="C12" s="111">
        <f>'Income Statement'!E9</f>
        <v>5717.8</v>
      </c>
      <c r="D12" s="122"/>
      <c r="E12" s="92" t="str">
        <f t="shared" ref="E12:E20" si="2">IF(D12="","-",D12-C12)</f>
        <v>-</v>
      </c>
      <c r="F12" s="114" t="str">
        <f t="shared" ref="F12:F20" si="3">IF(D12="","-",IFERROR((D12-C12)/ABS(C12),"n/m"))</f>
        <v>-</v>
      </c>
      <c r="G12" s="109"/>
      <c r="H12" s="113" t="s">
        <v>15</v>
      </c>
      <c r="I12" s="111">
        <f>'Income Statement'!F9</f>
        <v>6163.7884000000004</v>
      </c>
      <c r="J12" s="122"/>
      <c r="K12" s="92" t="str">
        <f t="shared" si="0"/>
        <v>-</v>
      </c>
      <c r="L12" s="114" t="str">
        <f t="shared" si="1"/>
        <v>-</v>
      </c>
    </row>
    <row r="13" spans="2:12" x14ac:dyDescent="0.3">
      <c r="B13" s="115" t="s">
        <v>108</v>
      </c>
      <c r="C13" s="112">
        <f>'Income Statement'!E10</f>
        <v>5717.8</v>
      </c>
      <c r="D13" s="122"/>
      <c r="E13" s="93" t="str">
        <f t="shared" si="2"/>
        <v>-</v>
      </c>
      <c r="F13" s="116" t="str">
        <f t="shared" si="3"/>
        <v>-</v>
      </c>
      <c r="G13" s="110"/>
      <c r="H13" s="115" t="s">
        <v>108</v>
      </c>
      <c r="I13" s="112">
        <f>'Income Statement'!F10</f>
        <v>6415.3716000000013</v>
      </c>
      <c r="J13" s="122"/>
      <c r="K13" s="93" t="str">
        <f t="shared" si="0"/>
        <v>-</v>
      </c>
      <c r="L13" s="116" t="str">
        <f t="shared" si="1"/>
        <v>-</v>
      </c>
    </row>
    <row r="14" spans="2:12" x14ac:dyDescent="0.3">
      <c r="B14" s="113" t="s">
        <v>17</v>
      </c>
      <c r="C14" s="111">
        <f>'Income Statement'!E12</f>
        <v>5832.1559999999999</v>
      </c>
      <c r="D14" s="122"/>
      <c r="E14" s="92" t="str">
        <f t="shared" si="2"/>
        <v>-</v>
      </c>
      <c r="F14" s="114" t="str">
        <f t="shared" si="3"/>
        <v>-</v>
      </c>
      <c r="G14" s="109"/>
      <c r="H14" s="113" t="s">
        <v>17</v>
      </c>
      <c r="I14" s="111">
        <f>'Income Statement'!F12</f>
        <v>6163.7884000000004</v>
      </c>
      <c r="J14" s="122"/>
      <c r="K14" s="92" t="str">
        <f t="shared" si="0"/>
        <v>-</v>
      </c>
      <c r="L14" s="114" t="str">
        <f t="shared" si="1"/>
        <v>-</v>
      </c>
    </row>
    <row r="15" spans="2:12" x14ac:dyDescent="0.3">
      <c r="B15" s="115" t="s">
        <v>18</v>
      </c>
      <c r="C15" s="112">
        <f>'Income Statement'!E13</f>
        <v>-114.35599999999977</v>
      </c>
      <c r="D15" s="122"/>
      <c r="E15" s="93" t="str">
        <f t="shared" si="2"/>
        <v>-</v>
      </c>
      <c r="F15" s="116" t="str">
        <f t="shared" si="3"/>
        <v>-</v>
      </c>
      <c r="G15" s="110"/>
      <c r="H15" s="115" t="s">
        <v>18</v>
      </c>
      <c r="I15" s="112">
        <f>'Income Statement'!F13</f>
        <v>251.58320000000094</v>
      </c>
      <c r="J15" s="122"/>
      <c r="K15" s="93" t="str">
        <f t="shared" si="0"/>
        <v>-</v>
      </c>
      <c r="L15" s="116" t="str">
        <f t="shared" si="1"/>
        <v>-</v>
      </c>
    </row>
    <row r="16" spans="2:12" x14ac:dyDescent="0.3">
      <c r="B16" s="115" t="s">
        <v>22</v>
      </c>
      <c r="C16" s="112">
        <f>'Income Statement'!E16</f>
        <v>-114.35599999999977</v>
      </c>
      <c r="D16" s="122"/>
      <c r="E16" s="93" t="str">
        <f t="shared" si="2"/>
        <v>-</v>
      </c>
      <c r="F16" s="116" t="str">
        <f t="shared" si="3"/>
        <v>-</v>
      </c>
      <c r="G16" s="110"/>
      <c r="H16" s="115" t="s">
        <v>22</v>
      </c>
      <c r="I16" s="112">
        <f>'Income Statement'!F16</f>
        <v>251.58320000000094</v>
      </c>
      <c r="J16" s="122"/>
      <c r="K16" s="93" t="str">
        <f t="shared" si="0"/>
        <v>-</v>
      </c>
      <c r="L16" s="116" t="str">
        <f t="shared" si="1"/>
        <v>-</v>
      </c>
    </row>
    <row r="17" spans="2:12" x14ac:dyDescent="0.3">
      <c r="B17" s="113" t="s">
        <v>23</v>
      </c>
      <c r="C17" s="111">
        <f>'Income Statement'!E17</f>
        <v>350</v>
      </c>
      <c r="D17" s="122"/>
      <c r="E17" s="92" t="str">
        <f t="shared" si="2"/>
        <v>-</v>
      </c>
      <c r="F17" s="114" t="str">
        <f t="shared" si="3"/>
        <v>-</v>
      </c>
      <c r="G17" s="109"/>
      <c r="H17" s="113" t="s">
        <v>23</v>
      </c>
      <c r="I17" s="111">
        <f>'Income Statement'!F17</f>
        <v>350</v>
      </c>
      <c r="J17" s="122"/>
      <c r="K17" s="92" t="str">
        <f t="shared" si="0"/>
        <v>-</v>
      </c>
      <c r="L17" s="114" t="str">
        <f t="shared" si="1"/>
        <v>-</v>
      </c>
    </row>
    <row r="18" spans="2:12" x14ac:dyDescent="0.3">
      <c r="B18" s="115" t="s">
        <v>24</v>
      </c>
      <c r="C18" s="112">
        <f>'Income Statement'!E19</f>
        <v>-464.35599999999977</v>
      </c>
      <c r="D18" s="122"/>
      <c r="E18" s="93" t="str">
        <f t="shared" si="2"/>
        <v>-</v>
      </c>
      <c r="F18" s="116" t="str">
        <f t="shared" si="3"/>
        <v>-</v>
      </c>
      <c r="G18" s="110"/>
      <c r="H18" s="115" t="s">
        <v>24</v>
      </c>
      <c r="I18" s="112">
        <f>'Income Statement'!F19</f>
        <v>-98.416799999999057</v>
      </c>
      <c r="J18" s="122"/>
      <c r="K18" s="93" t="str">
        <f t="shared" si="0"/>
        <v>-</v>
      </c>
      <c r="L18" s="116" t="str">
        <f t="shared" si="1"/>
        <v>-</v>
      </c>
    </row>
    <row r="19" spans="2:12" x14ac:dyDescent="0.3">
      <c r="B19" s="113" t="s">
        <v>25</v>
      </c>
      <c r="C19" s="111">
        <f>'Income Statement'!E21</f>
        <v>-92.871199999999959</v>
      </c>
      <c r="D19" s="122"/>
      <c r="E19" s="92" t="str">
        <f t="shared" si="2"/>
        <v>-</v>
      </c>
      <c r="F19" s="114" t="str">
        <f t="shared" si="3"/>
        <v>-</v>
      </c>
      <c r="G19" s="109"/>
      <c r="H19" s="113" t="s">
        <v>25</v>
      </c>
      <c r="I19" s="111">
        <f>'Income Statement'!F21</f>
        <v>-19.683359999999812</v>
      </c>
      <c r="J19" s="122"/>
      <c r="K19" s="92" t="str">
        <f t="shared" si="0"/>
        <v>-</v>
      </c>
      <c r="L19" s="114" t="str">
        <f t="shared" si="1"/>
        <v>-</v>
      </c>
    </row>
    <row r="20" spans="2:12" ht="15" thickBot="1" x14ac:dyDescent="0.35">
      <c r="B20" s="117" t="s">
        <v>26</v>
      </c>
      <c r="C20" s="154">
        <f>'Income Statement'!E22</f>
        <v>-371.48479999999984</v>
      </c>
      <c r="D20" s="123"/>
      <c r="E20" s="118" t="str">
        <f t="shared" si="2"/>
        <v>-</v>
      </c>
      <c r="F20" s="119" t="str">
        <f t="shared" si="3"/>
        <v>-</v>
      </c>
      <c r="G20" s="110"/>
      <c r="H20" s="117" t="s">
        <v>26</v>
      </c>
      <c r="I20" s="154">
        <f>'Income Statement'!F22</f>
        <v>-78.733439999999248</v>
      </c>
      <c r="J20" s="123"/>
      <c r="K20" s="118" t="str">
        <f t="shared" si="0"/>
        <v>-</v>
      </c>
      <c r="L20" s="119" t="str">
        <f t="shared" si="1"/>
        <v>-</v>
      </c>
    </row>
    <row r="21" spans="2:12" x14ac:dyDescent="0.3">
      <c r="G21" s="108"/>
    </row>
    <row r="22" spans="2:12" x14ac:dyDescent="0.3">
      <c r="G22" s="106"/>
    </row>
    <row r="23" spans="2:12" x14ac:dyDescent="0.3">
      <c r="G23" s="107"/>
    </row>
    <row r="24" spans="2:12" x14ac:dyDescent="0.3">
      <c r="G24" s="109"/>
    </row>
    <row r="25" spans="2:12" x14ac:dyDescent="0.3">
      <c r="G25" s="109"/>
    </row>
    <row r="26" spans="2:12" x14ac:dyDescent="0.3">
      <c r="G26" s="110"/>
    </row>
    <row r="27" spans="2:12" x14ac:dyDescent="0.3">
      <c r="G27" s="109"/>
    </row>
    <row r="28" spans="2:12" x14ac:dyDescent="0.3">
      <c r="G28" s="110"/>
    </row>
    <row r="29" spans="2:12" x14ac:dyDescent="0.3">
      <c r="G29" s="110"/>
    </row>
    <row r="30" spans="2:12" x14ac:dyDescent="0.3">
      <c r="G30" s="109"/>
    </row>
    <row r="31" spans="2:12" x14ac:dyDescent="0.3">
      <c r="G31" s="110"/>
    </row>
    <row r="32" spans="2:12" x14ac:dyDescent="0.3">
      <c r="G32" s="109"/>
    </row>
    <row r="33" spans="2:7" x14ac:dyDescent="0.3">
      <c r="G33" s="110"/>
    </row>
    <row r="34" spans="2:7" x14ac:dyDescent="0.3">
      <c r="G34" s="108"/>
    </row>
    <row r="35" spans="2:7" x14ac:dyDescent="0.3">
      <c r="B35" s="124"/>
      <c r="C35" s="106"/>
      <c r="D35" s="106"/>
      <c r="E35" s="106"/>
      <c r="F35" s="106"/>
      <c r="G35" s="106"/>
    </row>
    <row r="36" spans="2:7" x14ac:dyDescent="0.3">
      <c r="B36" s="107"/>
      <c r="C36" s="107"/>
      <c r="D36" s="107"/>
      <c r="E36" s="107"/>
      <c r="F36" s="107"/>
      <c r="G36" s="107"/>
    </row>
    <row r="37" spans="2:7" x14ac:dyDescent="0.3">
      <c r="B37" s="125"/>
      <c r="C37" s="126"/>
      <c r="D37" s="127"/>
      <c r="E37" s="128"/>
      <c r="F37" s="129"/>
      <c r="G37" s="109"/>
    </row>
    <row r="38" spans="2:7" x14ac:dyDescent="0.3">
      <c r="B38" s="125"/>
      <c r="C38" s="126"/>
      <c r="D38" s="127"/>
      <c r="E38" s="128"/>
      <c r="F38" s="129"/>
      <c r="G38" s="109"/>
    </row>
    <row r="39" spans="2:7" x14ac:dyDescent="0.3">
      <c r="B39" s="130"/>
      <c r="C39" s="131"/>
      <c r="D39" s="127"/>
      <c r="E39" s="132"/>
      <c r="F39" s="133"/>
      <c r="G39" s="110"/>
    </row>
    <row r="40" spans="2:7" x14ac:dyDescent="0.3">
      <c r="B40" s="125"/>
      <c r="C40" s="126"/>
      <c r="D40" s="127"/>
      <c r="E40" s="128"/>
      <c r="F40" s="129"/>
      <c r="G40" s="109"/>
    </row>
    <row r="41" spans="2:7" x14ac:dyDescent="0.3">
      <c r="B41" s="130"/>
      <c r="C41" s="131"/>
      <c r="D41" s="127"/>
      <c r="E41" s="132"/>
      <c r="F41" s="133"/>
      <c r="G41" s="110"/>
    </row>
    <row r="42" spans="2:7" x14ac:dyDescent="0.3">
      <c r="B42" s="130"/>
      <c r="C42" s="131"/>
      <c r="D42" s="127"/>
      <c r="E42" s="132"/>
      <c r="F42" s="133"/>
      <c r="G42" s="110"/>
    </row>
    <row r="43" spans="2:7" x14ac:dyDescent="0.3">
      <c r="B43" s="125"/>
      <c r="C43" s="126"/>
      <c r="D43" s="127"/>
      <c r="E43" s="128"/>
      <c r="F43" s="129"/>
      <c r="G43" s="109"/>
    </row>
    <row r="44" spans="2:7" x14ac:dyDescent="0.3">
      <c r="B44" s="130"/>
      <c r="C44" s="131"/>
      <c r="D44" s="127"/>
      <c r="E44" s="132"/>
      <c r="F44" s="133"/>
      <c r="G44" s="110"/>
    </row>
    <row r="45" spans="2:7" x14ac:dyDescent="0.3">
      <c r="B45" s="125"/>
      <c r="C45" s="126"/>
      <c r="D45" s="127"/>
      <c r="E45" s="128"/>
      <c r="F45" s="129"/>
      <c r="G45" s="109"/>
    </row>
    <row r="46" spans="2:7" x14ac:dyDescent="0.3">
      <c r="B46" s="130"/>
      <c r="C46" s="131"/>
      <c r="D46" s="127"/>
      <c r="E46" s="132"/>
      <c r="F46" s="133"/>
      <c r="G46" s="110"/>
    </row>
    <row r="47" spans="2:7" x14ac:dyDescent="0.3">
      <c r="B47" s="108"/>
      <c r="C47" s="108"/>
      <c r="D47" s="108"/>
      <c r="E47" s="108"/>
      <c r="F47" s="108"/>
      <c r="G47" s="108"/>
    </row>
    <row r="48" spans="2:7" x14ac:dyDescent="0.3">
      <c r="B48" s="124"/>
      <c r="C48" s="106"/>
      <c r="D48" s="106"/>
      <c r="E48" s="106"/>
      <c r="F48" s="106"/>
      <c r="G48" s="106"/>
    </row>
    <row r="49" spans="2:7" x14ac:dyDescent="0.3">
      <c r="B49" s="107"/>
      <c r="C49" s="107"/>
      <c r="D49" s="107"/>
      <c r="E49" s="107"/>
      <c r="F49" s="107"/>
      <c r="G49" s="107"/>
    </row>
    <row r="50" spans="2:7" x14ac:dyDescent="0.3">
      <c r="B50" s="125"/>
      <c r="C50" s="126"/>
      <c r="D50" s="127"/>
      <c r="E50" s="128"/>
      <c r="F50" s="129"/>
      <c r="G50" s="109"/>
    </row>
    <row r="51" spans="2:7" x14ac:dyDescent="0.3">
      <c r="B51" s="125"/>
      <c r="C51" s="126"/>
      <c r="D51" s="127"/>
      <c r="E51" s="128"/>
      <c r="F51" s="129"/>
      <c r="G51" s="109"/>
    </row>
    <row r="52" spans="2:7" x14ac:dyDescent="0.3">
      <c r="B52" s="130"/>
      <c r="C52" s="131"/>
      <c r="D52" s="127"/>
      <c r="E52" s="132"/>
      <c r="F52" s="133"/>
      <c r="G52" s="110"/>
    </row>
    <row r="53" spans="2:7" x14ac:dyDescent="0.3">
      <c r="B53" s="125"/>
      <c r="C53" s="126"/>
      <c r="D53" s="127"/>
      <c r="E53" s="128"/>
      <c r="F53" s="129"/>
      <c r="G53" s="109"/>
    </row>
    <row r="54" spans="2:7" x14ac:dyDescent="0.3">
      <c r="B54" s="130"/>
      <c r="C54" s="131"/>
      <c r="D54" s="127"/>
      <c r="E54" s="132"/>
      <c r="F54" s="133"/>
      <c r="G54" s="110"/>
    </row>
    <row r="55" spans="2:7" x14ac:dyDescent="0.3">
      <c r="B55" s="130"/>
      <c r="C55" s="131"/>
      <c r="D55" s="127"/>
      <c r="E55" s="132"/>
      <c r="F55" s="133"/>
      <c r="G55" s="110"/>
    </row>
    <row r="56" spans="2:7" x14ac:dyDescent="0.3">
      <c r="B56" s="125"/>
      <c r="C56" s="126"/>
      <c r="D56" s="127"/>
      <c r="E56" s="128"/>
      <c r="F56" s="129"/>
      <c r="G56" s="109"/>
    </row>
    <row r="57" spans="2:7" x14ac:dyDescent="0.3">
      <c r="B57" s="130"/>
      <c r="C57" s="131"/>
      <c r="D57" s="127"/>
      <c r="E57" s="132"/>
      <c r="F57" s="133"/>
      <c r="G57" s="110"/>
    </row>
    <row r="58" spans="2:7" x14ac:dyDescent="0.3">
      <c r="B58" s="125"/>
      <c r="C58" s="126"/>
      <c r="D58" s="127"/>
      <c r="E58" s="128"/>
      <c r="F58" s="129"/>
      <c r="G58" s="109"/>
    </row>
    <row r="59" spans="2:7" x14ac:dyDescent="0.3">
      <c r="B59" s="130"/>
      <c r="C59" s="131"/>
      <c r="D59" s="127"/>
      <c r="E59" s="132"/>
      <c r="F59" s="133"/>
      <c r="G59" s="110"/>
    </row>
    <row r="60" spans="2:7" x14ac:dyDescent="0.3">
      <c r="B60" s="108"/>
      <c r="C60" s="108"/>
      <c r="D60" s="108"/>
      <c r="E60" s="108"/>
      <c r="F60" s="108"/>
      <c r="G60" s="108"/>
    </row>
    <row r="61" spans="2:7" x14ac:dyDescent="0.3">
      <c r="B61" s="124"/>
      <c r="C61" s="106"/>
      <c r="D61" s="106"/>
      <c r="E61" s="106"/>
      <c r="F61" s="106"/>
      <c r="G61" s="106"/>
    </row>
    <row r="62" spans="2:7" x14ac:dyDescent="0.3">
      <c r="B62" s="107"/>
      <c r="C62" s="107"/>
      <c r="D62" s="107"/>
      <c r="E62" s="107"/>
      <c r="F62" s="107"/>
      <c r="G62" s="107"/>
    </row>
    <row r="63" spans="2:7" x14ac:dyDescent="0.3">
      <c r="B63" s="125"/>
      <c r="C63" s="126"/>
      <c r="D63" s="127"/>
      <c r="E63" s="128"/>
      <c r="F63" s="129"/>
      <c r="G63" s="109"/>
    </row>
    <row r="64" spans="2:7" x14ac:dyDescent="0.3">
      <c r="B64" s="125"/>
      <c r="C64" s="126"/>
      <c r="D64" s="127"/>
      <c r="E64" s="128"/>
      <c r="F64" s="129"/>
      <c r="G64" s="109"/>
    </row>
    <row r="65" spans="2:7" x14ac:dyDescent="0.3">
      <c r="B65" s="130"/>
      <c r="C65" s="131"/>
      <c r="D65" s="127"/>
      <c r="E65" s="132"/>
      <c r="F65" s="133"/>
      <c r="G65" s="110"/>
    </row>
    <row r="66" spans="2:7" x14ac:dyDescent="0.3">
      <c r="B66" s="125"/>
      <c r="C66" s="126"/>
      <c r="D66" s="127"/>
      <c r="E66" s="128"/>
      <c r="F66" s="129"/>
      <c r="G66" s="109"/>
    </row>
    <row r="67" spans="2:7" x14ac:dyDescent="0.3">
      <c r="B67" s="130"/>
      <c r="C67" s="131"/>
      <c r="D67" s="127"/>
      <c r="E67" s="132"/>
      <c r="F67" s="133"/>
      <c r="G67" s="110"/>
    </row>
    <row r="68" spans="2:7" x14ac:dyDescent="0.3">
      <c r="B68" s="130"/>
      <c r="C68" s="131"/>
      <c r="D68" s="127"/>
      <c r="E68" s="132"/>
      <c r="F68" s="133"/>
      <c r="G68" s="110"/>
    </row>
    <row r="69" spans="2:7" x14ac:dyDescent="0.3">
      <c r="B69" s="125"/>
      <c r="C69" s="126"/>
      <c r="D69" s="127"/>
      <c r="E69" s="128"/>
      <c r="F69" s="129"/>
      <c r="G69" s="109"/>
    </row>
    <row r="70" spans="2:7" x14ac:dyDescent="0.3">
      <c r="B70" s="130"/>
      <c r="C70" s="131"/>
      <c r="D70" s="127"/>
      <c r="E70" s="132"/>
      <c r="F70" s="133"/>
      <c r="G70" s="110"/>
    </row>
    <row r="71" spans="2:7" x14ac:dyDescent="0.3">
      <c r="B71" s="125"/>
      <c r="C71" s="126"/>
      <c r="D71" s="127"/>
      <c r="E71" s="128"/>
      <c r="F71" s="129"/>
      <c r="G71" s="109"/>
    </row>
    <row r="72" spans="2:7" x14ac:dyDescent="0.3">
      <c r="B72" s="130"/>
      <c r="C72" s="131"/>
      <c r="D72" s="127"/>
      <c r="E72" s="132"/>
      <c r="F72" s="133"/>
      <c r="G72" s="110"/>
    </row>
    <row r="73" spans="2:7" x14ac:dyDescent="0.3">
      <c r="B73" s="108"/>
      <c r="C73" s="108"/>
      <c r="D73" s="108"/>
      <c r="E73" s="108"/>
      <c r="F73" s="108"/>
      <c r="G73" s="108"/>
    </row>
    <row r="74" spans="2:7" x14ac:dyDescent="0.3">
      <c r="B74" s="124"/>
      <c r="C74" s="106"/>
      <c r="D74" s="106"/>
      <c r="E74" s="106"/>
      <c r="F74" s="106"/>
      <c r="G74" s="106"/>
    </row>
    <row r="75" spans="2:7" x14ac:dyDescent="0.3">
      <c r="B75" s="107"/>
      <c r="C75" s="107"/>
      <c r="D75" s="107"/>
      <c r="E75" s="107"/>
      <c r="F75" s="107"/>
      <c r="G75" s="107"/>
    </row>
    <row r="76" spans="2:7" x14ac:dyDescent="0.3">
      <c r="B76" s="125"/>
      <c r="C76" s="126"/>
      <c r="D76" s="127"/>
      <c r="E76" s="128"/>
      <c r="F76" s="129"/>
      <c r="G76" s="109"/>
    </row>
    <row r="77" spans="2:7" x14ac:dyDescent="0.3">
      <c r="B77" s="125"/>
      <c r="C77" s="126"/>
      <c r="D77" s="127"/>
      <c r="E77" s="128"/>
      <c r="F77" s="129"/>
      <c r="G77" s="109"/>
    </row>
    <row r="78" spans="2:7" x14ac:dyDescent="0.3">
      <c r="B78" s="130"/>
      <c r="C78" s="131"/>
      <c r="D78" s="127"/>
      <c r="E78" s="132"/>
      <c r="F78" s="133"/>
      <c r="G78" s="110"/>
    </row>
    <row r="79" spans="2:7" x14ac:dyDescent="0.3">
      <c r="B79" s="125"/>
      <c r="C79" s="126"/>
      <c r="D79" s="127"/>
      <c r="E79" s="128"/>
      <c r="F79" s="129"/>
      <c r="G79" s="109"/>
    </row>
    <row r="80" spans="2:7" x14ac:dyDescent="0.3">
      <c r="B80" s="130"/>
      <c r="C80" s="131"/>
      <c r="D80" s="127"/>
      <c r="E80" s="132"/>
      <c r="F80" s="133"/>
      <c r="G80" s="110"/>
    </row>
    <row r="81" spans="2:7" x14ac:dyDescent="0.3">
      <c r="B81" s="130"/>
      <c r="C81" s="131"/>
      <c r="D81" s="127"/>
      <c r="E81" s="132"/>
      <c r="F81" s="133"/>
      <c r="G81" s="110"/>
    </row>
    <row r="82" spans="2:7" x14ac:dyDescent="0.3">
      <c r="B82" s="125"/>
      <c r="C82" s="126"/>
      <c r="D82" s="127"/>
      <c r="E82" s="128"/>
      <c r="F82" s="129"/>
      <c r="G82" s="109"/>
    </row>
    <row r="83" spans="2:7" x14ac:dyDescent="0.3">
      <c r="B83" s="130"/>
      <c r="C83" s="131"/>
      <c r="D83" s="127"/>
      <c r="E83" s="132"/>
      <c r="F83" s="133"/>
      <c r="G83" s="110"/>
    </row>
    <row r="84" spans="2:7" x14ac:dyDescent="0.3">
      <c r="B84" s="125"/>
      <c r="C84" s="126"/>
      <c r="D84" s="127"/>
      <c r="E84" s="128"/>
      <c r="F84" s="129"/>
      <c r="G84" s="109"/>
    </row>
    <row r="85" spans="2:7" x14ac:dyDescent="0.3">
      <c r="B85" s="130"/>
      <c r="C85" s="131"/>
      <c r="D85" s="127"/>
      <c r="E85" s="132"/>
      <c r="F85" s="133"/>
      <c r="G85" s="110"/>
    </row>
  </sheetData>
  <mergeCells count="3">
    <mergeCell ref="B7:G7"/>
    <mergeCell ref="B9:F9"/>
    <mergeCell ref="H9:L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</vt:lpstr>
      <vt:lpstr>Balance sheet</vt:lpstr>
      <vt:lpstr>Ratio Analysis</vt:lpstr>
      <vt:lpstr>Revenue Charts</vt:lpstr>
      <vt:lpstr>Variance Analysis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3</cp:revision>
  <dcterms:created xsi:type="dcterms:W3CDTF">2015-06-05T18:17:20Z</dcterms:created>
  <dcterms:modified xsi:type="dcterms:W3CDTF">2026-09-01T19:12:17Z</dcterms:modified>
  <dc:language>en-US</dc:language>
</cp:coreProperties>
</file>